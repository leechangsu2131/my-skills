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yo6net-my.sharepoint.com/personal/lee2131_gyo6_net/Documents/51. 체육업무/자투리공간활용/"/>
    </mc:Choice>
  </mc:AlternateContent>
  <xr:revisionPtr revIDLastSave="7" documentId="8_{D62C643B-242F-423B-A2C8-E5C648D817F8}" xr6:coauthVersionLast="47" xr6:coauthVersionMax="47" xr10:uidLastSave="{779F83CA-3768-4075-B9E4-FCBC34C9841A}"/>
  <bookViews>
    <workbookView xWindow="-120" yWindow="-120" windowWidth="29040" windowHeight="15720" xr2:uid="{CAF6E911-06BF-420C-AF3F-6F5A31DAE5EB}"/>
  </bookViews>
  <sheets>
    <sheet name="견적서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0">#REF!</definedName>
    <definedName name="aaa">#REF!</definedName>
    <definedName name="bbb">#REF!</definedName>
    <definedName name="_xlnm.Print_Area" localSheetId="0">견적서!$A$1:$H$41</definedName>
    <definedName name="가사실">#REF!</definedName>
    <definedName name="가사실1">#REF!</definedName>
    <definedName name="건축목공">#REF!</definedName>
    <definedName name="계장공">#REF!</definedName>
    <definedName name="고압케이블전공">#REF!</definedName>
    <definedName name="교원휴게실">#REF!</definedName>
    <definedName name="금이억삼천사십오만원정">#REF!</definedName>
    <definedName name="기계공">#REF!</definedName>
    <definedName name="기계설치공">#REF!</definedName>
    <definedName name="내선전공">#REF!</definedName>
    <definedName name="다목적강당">#REF!</definedName>
    <definedName name="도서실">#REF!</definedName>
    <definedName name="도장공">#REF!</definedName>
    <definedName name="ㅁ0">#REF!</definedName>
    <definedName name="목도공">#REF!</definedName>
    <definedName name="무선안테나공">#REF!</definedName>
    <definedName name="방수공">#REF!</definedName>
    <definedName name="배관공">#REF!</definedName>
    <definedName name="배전전공">#REF!</definedName>
    <definedName name="보통인부">#REF!</definedName>
    <definedName name="비계공">#REF!</definedName>
    <definedName name="송전전공">#REF!</definedName>
    <definedName name="용접공">#REF!</definedName>
    <definedName name="저압케이블전공">#REF!</definedName>
    <definedName name="전1">#REF!</definedName>
    <definedName name="전2">#REF!</definedName>
    <definedName name="조력공">#REF!</definedName>
    <definedName name="철공">#REF!</definedName>
    <definedName name="철근공">#REF!</definedName>
    <definedName name="콘크리트공">#REF!</definedName>
    <definedName name="통2">#REF!</definedName>
    <definedName name="통신기사1급">#REF!</definedName>
    <definedName name="통신기사2급">#REF!</definedName>
    <definedName name="통신내선공">#REF!</definedName>
    <definedName name="통신설비공">#REF!</definedName>
    <definedName name="통신외선공">#REF!</definedName>
    <definedName name="통신케이블공">#REF!</definedName>
    <definedName name="특별인부">#REF!</definedName>
    <definedName name="특케">#REF!</definedName>
    <definedName name="플랜트전공">#REF!</definedName>
    <definedName name="형틀목공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" i="2" l="1"/>
  <c r="G25" i="2"/>
  <c r="G19" i="2"/>
  <c r="G20" i="2"/>
  <c r="G22" i="2"/>
  <c r="G23" i="2"/>
  <c r="G18" i="2"/>
  <c r="G17" i="2"/>
  <c r="G34" i="2"/>
  <c r="A14" i="2" s="1"/>
  <c r="A15" i="2" l="1"/>
</calcChain>
</file>

<file path=xl/sharedStrings.xml><?xml version="1.0" encoding="utf-8"?>
<sst xmlns="http://schemas.openxmlformats.org/spreadsheetml/2006/main" count="77" uniqueCount="71">
  <si>
    <t xml:space="preserve"> </t>
    <phoneticPr fontId="3" type="noConversion"/>
  </si>
  <si>
    <t>NO</t>
    <phoneticPr fontId="3" type="noConversion"/>
  </si>
  <si>
    <t>수량</t>
  </si>
  <si>
    <t>단위</t>
    <phoneticPr fontId="3" type="noConversion"/>
  </si>
  <si>
    <r>
      <t>부</t>
    </r>
    <r>
      <rPr>
        <b/>
        <sz val="11"/>
        <rFont val="Arial"/>
        <family val="2"/>
      </rPr>
      <t xml:space="preserve"> </t>
    </r>
    <r>
      <rPr>
        <b/>
        <sz val="11"/>
        <rFont val="돋움체"/>
        <family val="3"/>
        <charset val="129"/>
      </rPr>
      <t>서</t>
    </r>
    <r>
      <rPr>
        <b/>
        <sz val="11"/>
        <rFont val="Arial"/>
        <family val="2"/>
      </rPr>
      <t>:</t>
    </r>
    <phoneticPr fontId="3" type="noConversion"/>
  </si>
  <si>
    <t>TO</t>
    <phoneticPr fontId="3" type="noConversion"/>
  </si>
  <si>
    <r>
      <t>참</t>
    </r>
    <r>
      <rPr>
        <b/>
        <sz val="11"/>
        <rFont val="Arial"/>
        <family val="2"/>
      </rPr>
      <t xml:space="preserve"> </t>
    </r>
    <r>
      <rPr>
        <b/>
        <sz val="11"/>
        <rFont val="돋움체"/>
        <family val="3"/>
        <charset val="129"/>
      </rPr>
      <t>고</t>
    </r>
    <r>
      <rPr>
        <b/>
        <sz val="11"/>
        <rFont val="Arial"/>
        <family val="2"/>
      </rPr>
      <t>:</t>
    </r>
    <phoneticPr fontId="3" type="noConversion"/>
  </si>
  <si>
    <r>
      <t>전</t>
    </r>
    <r>
      <rPr>
        <b/>
        <sz val="11"/>
        <rFont val="Arial"/>
        <family val="2"/>
      </rPr>
      <t xml:space="preserve"> </t>
    </r>
    <r>
      <rPr>
        <b/>
        <sz val="11"/>
        <rFont val="돋움체"/>
        <family val="3"/>
        <charset val="129"/>
      </rPr>
      <t>화</t>
    </r>
    <r>
      <rPr>
        <b/>
        <sz val="11"/>
        <rFont val="Arial"/>
        <family val="2"/>
      </rPr>
      <t>:</t>
    </r>
    <phoneticPr fontId="3" type="noConversion"/>
  </si>
  <si>
    <t>E-mail</t>
    <phoneticPr fontId="3" type="noConversion"/>
  </si>
  <si>
    <r>
      <t>팩</t>
    </r>
    <r>
      <rPr>
        <b/>
        <sz val="11"/>
        <rFont val="Arial"/>
        <family val="2"/>
      </rPr>
      <t xml:space="preserve"> </t>
    </r>
    <r>
      <rPr>
        <b/>
        <sz val="11"/>
        <rFont val="돋움체"/>
        <family val="3"/>
        <charset val="129"/>
      </rPr>
      <t>스</t>
    </r>
    <r>
      <rPr>
        <b/>
        <sz val="11"/>
        <rFont val="Arial"/>
        <family val="2"/>
      </rPr>
      <t>:</t>
    </r>
    <phoneticPr fontId="3" type="noConversion"/>
  </si>
  <si>
    <t xml:space="preserve"> </t>
  </si>
  <si>
    <t xml:space="preserve"> FROM</t>
    <phoneticPr fontId="3" type="noConversion"/>
  </si>
  <si>
    <r>
      <t>담</t>
    </r>
    <r>
      <rPr>
        <b/>
        <sz val="11"/>
        <rFont val="Arial"/>
        <family val="2"/>
      </rPr>
      <t xml:space="preserve"> </t>
    </r>
    <r>
      <rPr>
        <b/>
        <sz val="11"/>
        <rFont val="돋움체"/>
        <family val="3"/>
        <charset val="129"/>
      </rPr>
      <t>당</t>
    </r>
    <r>
      <rPr>
        <b/>
        <sz val="11"/>
        <rFont val="Arial"/>
        <family val="2"/>
      </rPr>
      <t>:</t>
    </r>
    <phoneticPr fontId="3" type="noConversion"/>
  </si>
  <si>
    <t xml:space="preserve"> 아래와 같이 견적 하나이다</t>
    <phoneticPr fontId="3" type="noConversion"/>
  </si>
  <si>
    <t>품    명   및   규    격</t>
    <phoneticPr fontId="3" type="noConversion"/>
  </si>
  <si>
    <t>단   가</t>
    <phoneticPr fontId="3" type="noConversion"/>
  </si>
  <si>
    <t>금       액</t>
    <phoneticPr fontId="3" type="noConversion"/>
  </si>
  <si>
    <t xml:space="preserve"> </t>
    <phoneticPr fontId="3" type="noConversion"/>
  </si>
  <si>
    <t>견 적 書 www.ossp.co.kr</t>
    <phoneticPr fontId="3" type="noConversion"/>
  </si>
  <si>
    <t>오성체육산업주식회사</t>
    <phoneticPr fontId="3" type="noConversion"/>
  </si>
  <si>
    <t xml:space="preserve"> 131-86-15489</t>
    <phoneticPr fontId="3" type="noConversion"/>
  </si>
  <si>
    <t xml:space="preserve"> 120111-0511619</t>
    <phoneticPr fontId="3" type="noConversion"/>
  </si>
  <si>
    <t xml:space="preserve"> E-mail:os8191300@hanmail.net</t>
    <phoneticPr fontId="3" type="noConversion"/>
  </si>
  <si>
    <t xml:space="preserve">  ◈정부조달 나라장터 G2B 종합쇼핑몰 등록업체 </t>
    <phoneticPr fontId="3" type="noConversion"/>
  </si>
  <si>
    <t xml:space="preserve">  ◈문화체육관광부지정 우수체육용구 생산업체</t>
    <phoneticPr fontId="3" type="noConversion"/>
  </si>
  <si>
    <t xml:space="preserve">  ◈한국건설생활환경시험연구원 Q마크, 안전인증</t>
    <phoneticPr fontId="3" type="noConversion"/>
  </si>
  <si>
    <t xml:space="preserve">  ◈대한스포츠산업협동조합원사</t>
    <phoneticPr fontId="3" type="noConversion"/>
  </si>
  <si>
    <t xml:space="preserve">  ◈ISO 9001품질,14001 환경경영시스템 인증업체</t>
    <phoneticPr fontId="3" type="noConversion"/>
  </si>
  <si>
    <t xml:space="preserve">  ◈생산물배상책임(PL)보험(중소기업중앙회)가입업체</t>
    <phoneticPr fontId="3" type="noConversion"/>
  </si>
  <si>
    <t>이미지</t>
    <phoneticPr fontId="3" type="noConversion"/>
  </si>
  <si>
    <t>● 공장:인천시 남동구 남동동로64번길 78 (남동공단)</t>
    <phoneticPr fontId="3" type="noConversion"/>
  </si>
  <si>
    <t>● 물류창고:인천시 남동구 호구포로14번길 88 (남동공단)</t>
    <phoneticPr fontId="3" type="noConversion"/>
  </si>
  <si>
    <t>● 사업자등록번호</t>
    <phoneticPr fontId="3" type="noConversion"/>
  </si>
  <si>
    <t>● 법인등록번호</t>
    <phoneticPr fontId="3" type="noConversion"/>
  </si>
  <si>
    <t xml:space="preserve">  대표이사  오   병   렬    (印)</t>
    <phoneticPr fontId="3" type="noConversion"/>
  </si>
  <si>
    <t xml:space="preserve"> TEL:031-499-5510(대)          FAX:031-497-5510</t>
    <phoneticPr fontId="3" type="noConversion"/>
  </si>
  <si>
    <t xml:space="preserve"> TEL:032-819-1300(대)          FAX:032-819-2060</t>
    <phoneticPr fontId="3" type="noConversion"/>
  </si>
  <si>
    <t xml:space="preserve">매트·수영기구·육상기구·유아용구·공원체육기구   </t>
    <phoneticPr fontId="3" type="noConversion"/>
  </si>
  <si>
    <t xml:space="preserve">            ◈전문생산◈                                                     </t>
    <phoneticPr fontId="3" type="noConversion"/>
  </si>
  <si>
    <t xml:space="preserve"> 경기용기구·학교체육교구·헬스기구·체조기구 </t>
    <phoneticPr fontId="3" type="noConversion"/>
  </si>
  <si>
    <t>합    계</t>
    <phoneticPr fontId="3" type="noConversion"/>
  </si>
  <si>
    <r>
      <rPr>
        <b/>
        <sz val="9"/>
        <rFont val="맑은 고딕"/>
        <family val="3"/>
        <charset val="129"/>
      </rPr>
      <t xml:space="preserve">● </t>
    </r>
    <r>
      <rPr>
        <b/>
        <sz val="9"/>
        <rFont val="돋움"/>
        <family val="3"/>
        <charset val="129"/>
      </rPr>
      <t>본사:경기도 시흥시 서울대학로 77, 1층 150-1호(골드테크노밸리)</t>
    </r>
    <phoneticPr fontId="3" type="noConversion"/>
  </si>
  <si>
    <t xml:space="preserve"> 박혜진 주임 031-499-5510</t>
    <phoneticPr fontId="3" type="noConversion"/>
  </si>
  <si>
    <t>대</t>
    <phoneticPr fontId="3" type="noConversion"/>
  </si>
  <si>
    <t>조</t>
    <phoneticPr fontId="3" type="noConversion"/>
  </si>
  <si>
    <t xml:space="preserve"> 배구네트 ( OSB-DVN9000, 9인제, 경기용, 나이론+스틸와이어 )</t>
    <phoneticPr fontId="3" type="noConversion"/>
  </si>
  <si>
    <t>장</t>
    <phoneticPr fontId="3" type="noConversion"/>
  </si>
  <si>
    <t>개</t>
    <phoneticPr fontId="3" type="noConversion"/>
  </si>
  <si>
    <t xml:space="preserve"> 배드민턴네트 ( OBN-400 )</t>
    <phoneticPr fontId="3" type="noConversion"/>
  </si>
  <si>
    <t>201407302544089</t>
    <phoneticPr fontId="3" type="noConversion"/>
  </si>
  <si>
    <t>201212280831044</t>
    <phoneticPr fontId="3" type="noConversion"/>
  </si>
  <si>
    <t>201610185104834</t>
    <phoneticPr fontId="3" type="noConversion"/>
  </si>
  <si>
    <t>G2B/S2B번호</t>
    <phoneticPr fontId="3" type="noConversion"/>
  </si>
  <si>
    <t xml:space="preserve"> ※ 부가세 포함.
 ※ 설치비 포함.</t>
    <phoneticPr fontId="3" type="noConversion"/>
  </si>
  <si>
    <t>ssms8101@korea.kr</t>
    <phoneticPr fontId="3" type="noConversion"/>
  </si>
  <si>
    <t>경주 화천초등학교 귀중</t>
    <phoneticPr fontId="3" type="noConversion"/>
  </si>
  <si>
    <t>22852308
201611085168882</t>
    <phoneticPr fontId="3" type="noConversion"/>
  </si>
  <si>
    <t>이동식 농구대(백보드 수동 높이 조절)</t>
    <phoneticPr fontId="3" type="noConversion"/>
  </si>
  <si>
    <t>24544453
202412100115077</t>
    <phoneticPr fontId="3" type="noConversion"/>
  </si>
  <si>
    <t>23325957
 201705316158344</t>
    <phoneticPr fontId="3" type="noConversion"/>
  </si>
  <si>
    <t>축구골대(초등용, 스텐레스, 보호대, 골넷포함) / 5700(L)×2150(H)mm</t>
    <phoneticPr fontId="3" type="noConversion"/>
  </si>
  <si>
    <t>축구공, 배구공, 농구공, 배드민턴 라켓, 셔틀콕 등</t>
    <phoneticPr fontId="3" type="noConversion"/>
  </si>
  <si>
    <t>배구지주(이동식, 베벨기어식, 심판대, 보호대, 배드민턴, 족구겸용 )</t>
    <phoneticPr fontId="3" type="noConversion"/>
  </si>
  <si>
    <t>배드민턴 지주(권취기 포함, 족구겸용)</t>
    <phoneticPr fontId="3" type="noConversion"/>
  </si>
  <si>
    <t xml:space="preserve"> 멀티사각볼망 ( OSB-XZ100, 알미늄, 적색1, 청색1 )</t>
    <phoneticPr fontId="3" type="noConversion"/>
  </si>
  <si>
    <t>배드민턴 중간지주</t>
    <phoneticPr fontId="3" type="noConversion"/>
  </si>
  <si>
    <t>21787824
201303181053537</t>
    <phoneticPr fontId="3" type="noConversion"/>
  </si>
  <si>
    <t>노란바구니</t>
    <phoneticPr fontId="3" type="noConversion"/>
  </si>
  <si>
    <t>선반</t>
    <phoneticPr fontId="3" type="noConversion"/>
  </si>
  <si>
    <t>지역업체</t>
    <phoneticPr fontId="3" type="noConversion"/>
  </si>
  <si>
    <t>s2b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</si>
</sst>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_-;\-* #,##0_-;_-* &quot;-&quot;??_-;_-@_-"/>
    <numFmt numFmtId="177" formatCode="#,##0_);[Red]\(#,##0\)"/>
    <numFmt numFmtId="187" formatCode="[DBNum4][$-412]&quot;一&quot;&quot;金&quot;\ General\ &quot;원&quot;&quot;整&quot;"/>
    <numFmt numFmtId="188" formatCode="&quot;₩&quot;#,###\-"/>
    <numFmt numFmtId="189" formatCode="0.000"/>
    <numFmt numFmtId="190" formatCode="0.000%"/>
    <numFmt numFmtId="191" formatCode="#,##0\ &quot;F&quot;;[Red]\-#,##0\ &quot;F&quot;"/>
    <numFmt numFmtId="192" formatCode="#,##0.00\ &quot;F&quot;;[Red]\-#,##0.00\ &quot;F&quot;"/>
    <numFmt numFmtId="193" formatCode="_ * #,##0_ ;_ * \-#,##0_ ;_ * &quot;-&quot;_ ;_ @_ "/>
    <numFmt numFmtId="194" formatCode="_ * #,##0.00_ ;_ * \-#,##0.00_ ;_ * &quot;-&quot;??_ ;_ @_ "/>
    <numFmt numFmtId="195" formatCode="&quot;SFr.&quot;#,##0.00;&quot;SFr.&quot;\-#,##0.00"/>
    <numFmt numFmtId="196" formatCode="0.0%;[Red]\(0.0%\)"/>
    <numFmt numFmtId="197" formatCode="#,##0.0;\-#,##0.0"/>
    <numFmt numFmtId="198" formatCode="&quot;₩&quot;#,##0;&quot;₩&quot;\-#,##0"/>
    <numFmt numFmtId="201" formatCode="yyyy&quot;년&quot;\ \ \ mm&quot;월&quot;\ \ \ dd&quot;일&quot;"/>
    <numFmt numFmtId="202" formatCode="0_ "/>
  </numFmts>
  <fonts count="56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b/>
      <sz val="11"/>
      <name val="Arial"/>
      <family val="2"/>
    </font>
    <font>
      <b/>
      <sz val="11"/>
      <name val="돋움"/>
      <family val="3"/>
      <charset val="129"/>
    </font>
    <font>
      <b/>
      <sz val="11"/>
      <name val="돋움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0"/>
      <name val="Arial"/>
      <family val="2"/>
    </font>
    <font>
      <u/>
      <sz val="11"/>
      <color indexed="12"/>
      <name val="돋움"/>
      <family val="3"/>
      <charset val="129"/>
    </font>
    <font>
      <b/>
      <sz val="9"/>
      <name val="돋움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¹UAAA¼"/>
      <family val="3"/>
      <charset val="129"/>
    </font>
    <font>
      <sz val="8"/>
      <name val="¹UAAA¼"/>
      <family val="1"/>
      <charset val="129"/>
    </font>
    <font>
      <b/>
      <sz val="12"/>
      <name val="Arial"/>
      <family val="2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2"/>
      <name val="뼻뮝"/>
      <family val="1"/>
      <charset val="129"/>
    </font>
    <font>
      <sz val="12"/>
      <name val="명조"/>
      <family val="3"/>
      <charset val="129"/>
    </font>
    <font>
      <b/>
      <sz val="14"/>
      <name val="돋움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u/>
      <sz val="11"/>
      <name val="돋움"/>
      <family val="3"/>
      <charset val="129"/>
    </font>
    <font>
      <b/>
      <sz val="16"/>
      <name val="돋움"/>
      <family val="3"/>
      <charset val="129"/>
    </font>
    <font>
      <b/>
      <sz val="26"/>
      <name val="돋움"/>
      <family val="3"/>
      <charset val="129"/>
    </font>
    <font>
      <b/>
      <sz val="9"/>
      <name val="맑은 고딕"/>
      <family val="3"/>
      <charset val="129"/>
    </font>
    <font>
      <sz val="9"/>
      <name val="돋움"/>
      <family val="3"/>
      <charset val="129"/>
    </font>
    <font>
      <b/>
      <sz val="24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rgb="FF333333"/>
      <name val="Noto Sans KR"/>
      <family val="3"/>
      <charset val="129"/>
    </font>
    <font>
      <sz val="10"/>
      <color rgb="FFFF0000"/>
      <name val="맑은 고딕"/>
      <family val="3"/>
      <charset val="129"/>
      <scheme val="maj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6">
    <xf numFmtId="0" fontId="0" fillId="0" borderId="0"/>
    <xf numFmtId="0" fontId="16" fillId="0" borderId="0"/>
    <xf numFmtId="0" fontId="16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189" fontId="17" fillId="0" borderId="0" applyFont="0" applyFill="0" applyBorder="0" applyAlignment="0" applyProtection="0"/>
    <xf numFmtId="190" fontId="17" fillId="0" borderId="0" applyFont="0" applyFill="0" applyBorder="0" applyAlignment="0" applyProtection="0"/>
    <xf numFmtId="191" fontId="2" fillId="0" borderId="0" applyFont="0" applyFill="0" applyBorder="0" applyAlignment="0" applyProtection="0"/>
    <xf numFmtId="192" fontId="2" fillId="0" borderId="0" applyFont="0" applyFill="0" applyBorder="0" applyAlignment="0" applyProtection="0"/>
    <xf numFmtId="0" fontId="18" fillId="0" borderId="0"/>
    <xf numFmtId="193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95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0" fontId="19" fillId="0" borderId="1" applyNumberFormat="0" applyAlignment="0" applyProtection="0">
      <alignment horizontal="left" vertical="center"/>
    </xf>
    <xf numFmtId="0" fontId="19" fillId="0" borderId="2">
      <alignment horizontal="left" vertical="center"/>
    </xf>
    <xf numFmtId="0" fontId="19" fillId="0" borderId="2">
      <alignment horizontal="left" vertical="center"/>
    </xf>
    <xf numFmtId="0" fontId="10" fillId="0" borderId="0"/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3" applyNumberFormat="0" applyAlignment="0" applyProtection="0">
      <alignment vertical="center"/>
    </xf>
    <xf numFmtId="2" fontId="2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9" fillId="3" borderId="0" applyNumberFormat="0" applyBorder="0" applyAlignment="0" applyProtection="0">
      <alignment vertical="center"/>
    </xf>
    <xf numFmtId="0" fontId="20" fillId="0" borderId="0" applyFont="0" applyFill="0" applyBorder="0" applyAlignment="0" applyProtection="0"/>
    <xf numFmtId="0" fontId="2" fillId="21" borderId="4" applyNumberFormat="0" applyFont="0" applyAlignment="0" applyProtection="0">
      <alignment vertical="center"/>
    </xf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0" fillId="22" borderId="0" applyNumberFormat="0" applyBorder="0" applyAlignment="0" applyProtection="0">
      <alignment vertical="center"/>
    </xf>
    <xf numFmtId="0" fontId="23" fillId="0" borderId="0"/>
    <xf numFmtId="0" fontId="31" fillId="0" borderId="0" applyNumberFormat="0" applyFill="0" applyBorder="0" applyAlignment="0" applyProtection="0">
      <alignment vertical="center"/>
    </xf>
    <xf numFmtId="0" fontId="32" fillId="23" borderId="5" applyNumberFormat="0" applyAlignment="0" applyProtection="0">
      <alignment vertical="center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15" fillId="0" borderId="0"/>
    <xf numFmtId="0" fontId="33" fillId="0" borderId="6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7" borderId="3" applyNumberFormat="0" applyAlignment="0" applyProtection="0">
      <alignment vertical="center"/>
    </xf>
    <xf numFmtId="4" fontId="20" fillId="0" borderId="0" applyFont="0" applyFill="0" applyBorder="0" applyAlignment="0" applyProtection="0"/>
    <xf numFmtId="0" fontId="24" fillId="0" borderId="0"/>
    <xf numFmtId="3" fontId="20" fillId="0" borderId="0" applyFont="0" applyFill="0" applyBorder="0" applyAlignment="0" applyProtection="0"/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16" fillId="0" borderId="0"/>
    <xf numFmtId="0" fontId="41" fillId="20" borderId="11" applyNumberFormat="0" applyAlignment="0" applyProtection="0">
      <alignment vertical="center"/>
    </xf>
    <xf numFmtId="193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49" fillId="0" borderId="0" applyFont="0" applyFill="0" applyBorder="0" applyAlignment="0" applyProtection="0">
      <alignment vertical="center"/>
    </xf>
    <xf numFmtId="10" fontId="20" fillId="0" borderId="0" applyFont="0" applyFill="0" applyBorder="0" applyAlignment="0" applyProtection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4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" fillId="0" borderId="0"/>
    <xf numFmtId="0" fontId="48" fillId="0" borderId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48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20" fillId="0" borderId="12" applyNumberFormat="0" applyFont="0" applyFill="0" applyAlignment="0" applyProtection="0"/>
    <xf numFmtId="0" fontId="25" fillId="0" borderId="0">
      <alignment vertical="center"/>
    </xf>
    <xf numFmtId="197" fontId="2" fillId="0" borderId="0" applyFont="0" applyFill="0" applyBorder="0" applyAlignment="0" applyProtection="0"/>
    <xf numFmtId="198" fontId="20" fillId="0" borderId="0" applyFont="0" applyFill="0" applyBorder="0" applyAlignment="0" applyProtection="0"/>
  </cellStyleXfs>
  <cellXfs count="108">
    <xf numFmtId="0" fontId="0" fillId="0" borderId="0" xfId="0"/>
    <xf numFmtId="0" fontId="13" fillId="0" borderId="0" xfId="0" applyFont="1" applyFill="1" applyAlignment="1">
      <alignment vertical="center"/>
    </xf>
    <xf numFmtId="0" fontId="12" fillId="0" borderId="13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1" fontId="8" fillId="0" borderId="0" xfId="109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Alignment="1">
      <alignment horizontal="center" vertical="center"/>
    </xf>
    <xf numFmtId="41" fontId="9" fillId="0" borderId="0" xfId="109" applyFont="1" applyFill="1" applyAlignment="1">
      <alignment vertical="center"/>
    </xf>
    <xf numFmtId="0" fontId="8" fillId="0" borderId="0" xfId="0" applyFont="1" applyFill="1" applyAlignment="1">
      <alignment vertical="center"/>
    </xf>
    <xf numFmtId="10" fontId="10" fillId="0" borderId="0" xfId="65" applyNumberFormat="1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14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15" xfId="0" applyFont="1" applyFill="1" applyBorder="1" applyAlignment="1">
      <alignment vertical="center"/>
    </xf>
    <xf numFmtId="0" fontId="12" fillId="0" borderId="16" xfId="0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13" xfId="0" applyFont="1" applyFill="1" applyBorder="1" applyAlignment="1">
      <alignment vertical="center"/>
    </xf>
    <xf numFmtId="0" fontId="46" fillId="0" borderId="13" xfId="0" applyFont="1" applyFill="1" applyBorder="1" applyAlignment="1">
      <alignment vertical="center"/>
    </xf>
    <xf numFmtId="0" fontId="4" fillId="0" borderId="0" xfId="0" applyFont="1"/>
    <xf numFmtId="10" fontId="4" fillId="0" borderId="0" xfId="65" applyNumberFormat="1" applyFont="1" applyAlignment="1"/>
    <xf numFmtId="41" fontId="4" fillId="0" borderId="0" xfId="109" applyFont="1" applyAlignment="1"/>
    <xf numFmtId="0" fontId="6" fillId="0" borderId="0" xfId="0" applyFont="1"/>
    <xf numFmtId="0" fontId="6" fillId="0" borderId="0" xfId="0" applyFont="1" applyAlignment="1">
      <alignment horizontal="center"/>
    </xf>
    <xf numFmtId="0" fontId="50" fillId="24" borderId="17" xfId="0" applyFont="1" applyFill="1" applyBorder="1" applyAlignment="1">
      <alignment horizontal="center" vertical="center"/>
    </xf>
    <xf numFmtId="0" fontId="50" fillId="24" borderId="18" xfId="0" applyFont="1" applyFill="1" applyBorder="1" applyAlignment="1">
      <alignment horizontal="center" vertical="center"/>
    </xf>
    <xf numFmtId="0" fontId="50" fillId="24" borderId="1" xfId="0" applyFont="1" applyFill="1" applyBorder="1" applyAlignment="1">
      <alignment horizontal="center" vertical="center"/>
    </xf>
    <xf numFmtId="0" fontId="50" fillId="24" borderId="19" xfId="0" applyFont="1" applyFill="1" applyBorder="1" applyAlignment="1">
      <alignment horizontal="center" vertical="center"/>
    </xf>
    <xf numFmtId="0" fontId="51" fillId="0" borderId="20" xfId="0" applyFont="1" applyFill="1" applyBorder="1" applyAlignment="1">
      <alignment horizontal="center" vertical="center"/>
    </xf>
    <xf numFmtId="49" fontId="51" fillId="0" borderId="21" xfId="133" applyNumberFormat="1" applyFont="1" applyBorder="1" applyAlignment="1">
      <alignment horizontal="center" vertical="center" wrapText="1" shrinkToFit="1"/>
    </xf>
    <xf numFmtId="0" fontId="51" fillId="0" borderId="21" xfId="0" applyFont="1" applyBorder="1" applyAlignment="1">
      <alignment horizontal="justify" vertical="center" wrapText="1"/>
    </xf>
    <xf numFmtId="0" fontId="51" fillId="0" borderId="21" xfId="0" applyFont="1" applyFill="1" applyBorder="1" applyAlignment="1">
      <alignment horizontal="center" vertical="center"/>
    </xf>
    <xf numFmtId="41" fontId="51" fillId="0" borderId="21" xfId="66" applyNumberFormat="1" applyFont="1" applyFill="1" applyBorder="1" applyAlignment="1">
      <alignment horizontal="center" vertical="center"/>
    </xf>
    <xf numFmtId="177" fontId="51" fillId="0" borderId="21" xfId="55" applyNumberFormat="1" applyFont="1" applyFill="1" applyBorder="1" applyAlignment="1">
      <alignment horizontal="right" vertical="center"/>
    </xf>
    <xf numFmtId="49" fontId="51" fillId="0" borderId="22" xfId="133" applyNumberFormat="1" applyFont="1" applyBorder="1" applyAlignment="1">
      <alignment horizontal="center" vertical="center"/>
    </xf>
    <xf numFmtId="0" fontId="51" fillId="0" borderId="23" xfId="0" applyFont="1" applyFill="1" applyBorder="1" applyAlignment="1">
      <alignment horizontal="center" vertical="center"/>
    </xf>
    <xf numFmtId="49" fontId="51" fillId="0" borderId="13" xfId="133" applyNumberFormat="1" applyFont="1" applyBorder="1" applyAlignment="1">
      <alignment horizontal="center" vertical="center" wrapText="1" shrinkToFit="1"/>
    </xf>
    <xf numFmtId="0" fontId="51" fillId="0" borderId="13" xfId="0" applyFont="1" applyBorder="1" applyAlignment="1">
      <alignment horizontal="justify" vertical="center"/>
    </xf>
    <xf numFmtId="0" fontId="51" fillId="0" borderId="13" xfId="0" applyFont="1" applyBorder="1" applyAlignment="1">
      <alignment horizontal="center" vertical="center"/>
    </xf>
    <xf numFmtId="176" fontId="51" fillId="0" borderId="13" xfId="66" applyNumberFormat="1" applyFont="1" applyFill="1" applyBorder="1" applyAlignment="1">
      <alignment horizontal="center" vertical="center"/>
    </xf>
    <xf numFmtId="177" fontId="51" fillId="0" borderId="13" xfId="55" applyNumberFormat="1" applyFont="1" applyFill="1" applyBorder="1" applyAlignment="1">
      <alignment horizontal="right" vertical="center"/>
    </xf>
    <xf numFmtId="49" fontId="51" fillId="0" borderId="24" xfId="133" applyNumberFormat="1" applyFont="1" applyBorder="1" applyAlignment="1">
      <alignment horizontal="center" vertical="center"/>
    </xf>
    <xf numFmtId="202" fontId="52" fillId="0" borderId="0" xfId="0" applyNumberFormat="1" applyFont="1" applyAlignment="1">
      <alignment vertical="center"/>
    </xf>
    <xf numFmtId="0" fontId="51" fillId="0" borderId="13" xfId="0" applyFont="1" applyBorder="1" applyAlignment="1">
      <alignment horizontal="justify" vertical="center" wrapText="1"/>
    </xf>
    <xf numFmtId="49" fontId="51" fillId="0" borderId="13" xfId="133" applyNumberFormat="1" applyFont="1" applyBorder="1" applyAlignment="1">
      <alignment horizontal="center" vertical="center" shrinkToFit="1"/>
    </xf>
    <xf numFmtId="0" fontId="51" fillId="0" borderId="13" xfId="148" applyFont="1" applyBorder="1" applyAlignment="1">
      <alignment horizontal="left" vertical="center" wrapText="1"/>
    </xf>
    <xf numFmtId="0" fontId="51" fillId="0" borderId="13" xfId="135" applyFont="1" applyBorder="1" applyAlignment="1">
      <alignment horizontal="center" vertical="center"/>
    </xf>
    <xf numFmtId="176" fontId="51" fillId="0" borderId="13" xfId="66" applyNumberFormat="1" applyFont="1" applyBorder="1" applyAlignment="1">
      <alignment horizontal="right" vertical="center"/>
    </xf>
    <xf numFmtId="176" fontId="51" fillId="0" borderId="13" xfId="66" applyNumberFormat="1" applyFont="1" applyFill="1" applyBorder="1" applyAlignment="1">
      <alignment horizontal="right" vertical="center"/>
    </xf>
    <xf numFmtId="0" fontId="51" fillId="0" borderId="13" xfId="0" applyFont="1" applyFill="1" applyBorder="1" applyAlignment="1">
      <alignment horizontal="justify" vertical="center" wrapText="1"/>
    </xf>
    <xf numFmtId="0" fontId="51" fillId="0" borderId="13" xfId="0" applyFont="1" applyFill="1" applyBorder="1" applyAlignment="1">
      <alignment horizontal="center" vertical="center"/>
    </xf>
    <xf numFmtId="41" fontId="51" fillId="0" borderId="13" xfId="66" applyNumberFormat="1" applyFont="1" applyFill="1" applyBorder="1" applyAlignment="1">
      <alignment horizontal="center" vertical="center"/>
    </xf>
    <xf numFmtId="49" fontId="51" fillId="0" borderId="13" xfId="133" applyNumberFormat="1" applyFont="1" applyFill="1" applyBorder="1" applyAlignment="1">
      <alignment horizontal="center" vertical="center" shrinkToFit="1"/>
    </xf>
    <xf numFmtId="0" fontId="53" fillId="0" borderId="13" xfId="0" applyFont="1" applyFill="1" applyBorder="1" applyAlignment="1">
      <alignment horizontal="left" vertical="center" wrapText="1"/>
    </xf>
    <xf numFmtId="49" fontId="51" fillId="0" borderId="24" xfId="133" applyNumberFormat="1" applyFont="1" applyFill="1" applyBorder="1" applyAlignment="1">
      <alignment horizontal="center" vertical="center"/>
    </xf>
    <xf numFmtId="0" fontId="51" fillId="0" borderId="25" xfId="0" applyFont="1" applyFill="1" applyBorder="1" applyAlignment="1">
      <alignment horizontal="center" vertical="center"/>
    </xf>
    <xf numFmtId="49" fontId="51" fillId="0" borderId="26" xfId="0" applyNumberFormat="1" applyFont="1" applyFill="1" applyBorder="1" applyAlignment="1">
      <alignment horizontal="center" vertical="center" shrinkToFit="1"/>
    </xf>
    <xf numFmtId="0" fontId="51" fillId="0" borderId="26" xfId="0" applyFont="1" applyFill="1" applyBorder="1" applyAlignment="1">
      <alignment horizontal="left" vertical="center"/>
    </xf>
    <xf numFmtId="3" fontId="51" fillId="0" borderId="26" xfId="0" applyNumberFormat="1" applyFont="1" applyFill="1" applyBorder="1" applyAlignment="1">
      <alignment horizontal="center" vertical="center"/>
    </xf>
    <xf numFmtId="0" fontId="51" fillId="0" borderId="26" xfId="0" applyFont="1" applyFill="1" applyBorder="1" applyAlignment="1">
      <alignment horizontal="center" vertical="center"/>
    </xf>
    <xf numFmtId="41" fontId="53" fillId="0" borderId="26" xfId="109" applyFont="1" applyFill="1" applyBorder="1" applyAlignment="1">
      <alignment horizontal="center" vertical="center"/>
    </xf>
    <xf numFmtId="177" fontId="53" fillId="0" borderId="26" xfId="55" applyNumberFormat="1" applyFont="1" applyFill="1" applyBorder="1" applyAlignment="1">
      <alignment horizontal="right" vertical="center"/>
    </xf>
    <xf numFmtId="0" fontId="51" fillId="0" borderId="27" xfId="55" applyNumberFormat="1" applyFont="1" applyFill="1" applyBorder="1" applyAlignment="1">
      <alignment horizontal="center" vertical="center"/>
    </xf>
    <xf numFmtId="49" fontId="51" fillId="0" borderId="13" xfId="133" applyNumberFormat="1" applyFont="1" applyBorder="1" applyAlignment="1">
      <alignment horizontal="left" vertical="center" wrapText="1" shrinkToFit="1"/>
    </xf>
    <xf numFmtId="0" fontId="2" fillId="0" borderId="13" xfId="0" applyFont="1" applyFill="1" applyBorder="1" applyAlignment="1">
      <alignment vertical="center"/>
    </xf>
    <xf numFmtId="0" fontId="51" fillId="0" borderId="28" xfId="148" applyFont="1" applyFill="1" applyBorder="1" applyAlignment="1">
      <alignment horizontal="left" vertical="center" wrapText="1"/>
    </xf>
    <xf numFmtId="0" fontId="53" fillId="0" borderId="13" xfId="0" applyFont="1" applyBorder="1" applyAlignment="1">
      <alignment horizontal="center" vertical="center"/>
    </xf>
    <xf numFmtId="202" fontId="54" fillId="0" borderId="0" xfId="0" applyNumberFormat="1" applyFont="1" applyAlignment="1">
      <alignment horizontal="center" vertical="center"/>
    </xf>
    <xf numFmtId="176" fontId="51" fillId="0" borderId="28" xfId="66" applyNumberFormat="1" applyFont="1" applyFill="1" applyBorder="1" applyAlignment="1">
      <alignment horizontal="center" vertical="center"/>
    </xf>
    <xf numFmtId="0" fontId="55" fillId="0" borderId="13" xfId="148" applyFont="1" applyBorder="1" applyAlignment="1">
      <alignment horizontal="left" vertical="center" wrapText="1"/>
    </xf>
    <xf numFmtId="0" fontId="42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87" fontId="6" fillId="0" borderId="0" xfId="0" applyNumberFormat="1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201" fontId="6" fillId="0" borderId="0" xfId="0" applyNumberFormat="1" applyFont="1" applyFill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12" fillId="0" borderId="35" xfId="0" applyFont="1" applyFill="1" applyBorder="1" applyAlignment="1">
      <alignment horizontal="center" vertical="center"/>
    </xf>
    <xf numFmtId="0" fontId="12" fillId="0" borderId="36" xfId="0" applyFont="1" applyFill="1" applyBorder="1" applyAlignment="1">
      <alignment horizontal="center" vertical="center"/>
    </xf>
    <xf numFmtId="0" fontId="12" fillId="0" borderId="37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/>
    </xf>
    <xf numFmtId="0" fontId="44" fillId="0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47" fillId="0" borderId="32" xfId="0" applyFont="1" applyFill="1" applyBorder="1" applyAlignment="1">
      <alignment horizontal="center" vertical="center"/>
    </xf>
    <xf numFmtId="0" fontId="47" fillId="0" borderId="33" xfId="0" applyFont="1" applyFill="1" applyBorder="1" applyAlignment="1">
      <alignment horizontal="center" vertical="center"/>
    </xf>
    <xf numFmtId="0" fontId="47" fillId="0" borderId="34" xfId="0" applyFont="1" applyFill="1" applyBorder="1" applyAlignment="1">
      <alignment horizontal="center" vertical="center"/>
    </xf>
    <xf numFmtId="0" fontId="47" fillId="0" borderId="16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47" fillId="0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88" fontId="6" fillId="0" borderId="29" xfId="0" applyNumberFormat="1" applyFont="1" applyFill="1" applyBorder="1" applyAlignment="1">
      <alignment horizontal="center" vertical="center"/>
    </xf>
    <xf numFmtId="0" fontId="6" fillId="0" borderId="0" xfId="151" applyNumberFormat="1" applyFont="1" applyFill="1" applyBorder="1" applyAlignment="1" applyProtection="1">
      <alignment horizontal="left" vertical="center"/>
    </xf>
    <xf numFmtId="0" fontId="6" fillId="0" borderId="0" xfId="109" applyNumberFormat="1" applyFont="1" applyBorder="1" applyAlignment="1">
      <alignment horizontal="left" vertical="center"/>
    </xf>
    <xf numFmtId="0" fontId="6" fillId="0" borderId="0" xfId="109" applyNumberFormat="1" applyFont="1" applyBorder="1" applyAlignment="1">
      <alignment horizontal="left" vertical="center" shrinkToFit="1"/>
    </xf>
    <xf numFmtId="0" fontId="6" fillId="0" borderId="29" xfId="0" applyFont="1" applyFill="1" applyBorder="1" applyAlignment="1">
      <alignment horizontal="center" vertical="center"/>
    </xf>
    <xf numFmtId="0" fontId="11" fillId="0" borderId="14" xfId="151" applyFill="1" applyBorder="1" applyAlignment="1" applyProtection="1">
      <alignment horizontal="left" vertical="center"/>
    </xf>
    <xf numFmtId="0" fontId="8" fillId="0" borderId="14" xfId="0" applyFont="1" applyFill="1" applyBorder="1" applyAlignment="1">
      <alignment horizontal="left" vertical="center"/>
    </xf>
  </cellXfs>
  <cellStyles count="156">
    <cellStyle name="??&amp;O?&amp;H?_x0008__x000f__x0007_?_x0007__x0001__x0001_" xfId="1" xr:uid="{AFBD34B6-8C3E-4391-8472-3C21A24C35C8}"/>
    <cellStyle name="??&amp;O?&amp;H?_x0008_??_x0007__x0001__x0001_" xfId="2" xr:uid="{50C4DF2C-EE41-49EF-8BD5-8704627E477D}"/>
    <cellStyle name="_견적서 (제품, 자재, a,s)" xfId="3" xr:uid="{90C187CD-BD58-42AF-B796-2B76CFA93B87}"/>
    <cellStyle name="_선덕고등학교" xfId="4" xr:uid="{173EAD63-211B-4F66-9629-C9B7DD743E7D}"/>
    <cellStyle name="_선덕고등학교2" xfId="5" xr:uid="{9FB3D103-50CE-4793-A4F5-745D076E1FA8}"/>
    <cellStyle name="_세미나-2001~2002년 중역용 제품 운영 계획" xfId="6" xr:uid="{274FF51B-A852-41EA-9024-BF410A3E5A37}"/>
    <cellStyle name="_정신여고 _ 최종 견적 및 시방서" xfId="7" xr:uid="{87FA35E6-8C3B-435C-AC59-A43A472D4284}"/>
    <cellStyle name="_정훈F&amp;G견적서1" xfId="8" xr:uid="{03E0830F-67BF-4C57-AA67-7F7AC3B06DB9}"/>
    <cellStyle name="_첨부-2001~2002년 중역용 제품 운영 계획1" xfId="9" xr:uid="{93AAF1E9-BF27-4FC0-B1B3-B237BBE3420D}"/>
    <cellStyle name="20% - 강조색1 2" xfId="10" xr:uid="{5F0AEFD9-D967-4E3C-8CCE-83F7A4ED6A8D}"/>
    <cellStyle name="20% - 강조색2 2" xfId="11" xr:uid="{A93BCF76-B36E-4DF0-9DD4-89F2D8EEC41C}"/>
    <cellStyle name="20% - 강조색3 2" xfId="12" xr:uid="{9C8B7A8A-A550-4E27-92AF-26B48DECEEDE}"/>
    <cellStyle name="20% - 강조색4 2" xfId="13" xr:uid="{576E881C-C0AD-4124-8A6B-F3782B947DE8}"/>
    <cellStyle name="20% - 강조색5 2" xfId="14" xr:uid="{270116F5-99C0-4FF3-82AF-23B4AF7BB485}"/>
    <cellStyle name="20% - 강조색6 2" xfId="15" xr:uid="{6484808B-DEFC-4AF5-A718-455C39499499}"/>
    <cellStyle name="40% - 강조색1 2" xfId="16" xr:uid="{E470A570-B730-4F6B-8762-8226404B3790}"/>
    <cellStyle name="40% - 강조색2 2" xfId="17" xr:uid="{80B02636-8CAE-465D-BD98-56E356DDBBD0}"/>
    <cellStyle name="40% - 강조색3 2" xfId="18" xr:uid="{8277A2C9-6E38-497A-9E54-CF038307426C}"/>
    <cellStyle name="40% - 강조색4 2" xfId="19" xr:uid="{741DF187-793A-4FBA-AFBA-0E1815E8D77F}"/>
    <cellStyle name="40% - 강조색5 2" xfId="20" xr:uid="{2C8D357D-CEE6-4594-9E2D-FDF50C912C90}"/>
    <cellStyle name="40% - 강조색6 2" xfId="21" xr:uid="{42B8F330-019A-4612-927A-32E1D85BCC54}"/>
    <cellStyle name="60% - 강조색1 2" xfId="22" xr:uid="{4076B39C-7798-4649-B0D3-C5668175EF49}"/>
    <cellStyle name="60% - 강조색2 2" xfId="23" xr:uid="{0DB537E9-1C96-4FB7-88C8-B2B621A450F0}"/>
    <cellStyle name="60% - 강조색3 2" xfId="24" xr:uid="{0A4B817B-73B0-4B78-A32F-C900CA07B54B}"/>
    <cellStyle name="60% - 강조색4 2" xfId="25" xr:uid="{AA3AE54D-0EA4-4D71-AB0C-E17EA07B9C0A}"/>
    <cellStyle name="60% - 강조색5 2" xfId="26" xr:uid="{3E0930DB-8EEC-4D4E-B0A1-98FDCAD8B9CE}"/>
    <cellStyle name="60% - 강조색6 2" xfId="27" xr:uid="{7A263B1E-0C81-427B-8777-641EC6CA62F3}"/>
    <cellStyle name="AeE­ [0]_¼oAI¼º " xfId="28" xr:uid="{051131DD-DB77-4871-BC19-AA5E8ACC6A9B}"/>
    <cellStyle name="AeE­_¼oAI¼º " xfId="29" xr:uid="{16A07B3E-2E02-40F2-BDC1-566E33ADD445}"/>
    <cellStyle name="AÞ¸¶ [0]_¼oAI¼º " xfId="30" xr:uid="{C5DF6C55-D00F-4D2B-9C54-A800C613F3EB}"/>
    <cellStyle name="AÞ¸¶_¼oAI¼º " xfId="31" xr:uid="{2678DAF9-C200-491F-ADA0-32883D08F8CF}"/>
    <cellStyle name="C￥AØ_  FAB AIA¤  " xfId="32" xr:uid="{6E73883E-AFFA-41BB-B47A-1A5591858C73}"/>
    <cellStyle name="Comma [0]_ SG&amp;A Bridge " xfId="33" xr:uid="{E9D0ED75-2481-4D4B-860B-817EA92067D9}"/>
    <cellStyle name="Comma_ SG&amp;A Bridge " xfId="34" xr:uid="{AA2D73ED-7EBA-4977-8B38-FC57EF4B4D1D}"/>
    <cellStyle name="Currency [0]_ SG&amp;A Bridge " xfId="35" xr:uid="{863A80F6-D004-43E9-BAB0-7C6928F73EFD}"/>
    <cellStyle name="Currency_ SG&amp;A Bridge " xfId="36" xr:uid="{FFC9EE51-5BBC-4F41-AEBF-5E723362DA3E}"/>
    <cellStyle name="Header1" xfId="37" xr:uid="{EAFC149D-7EB8-4917-89CE-8599911713D9}"/>
    <cellStyle name="Header2" xfId="38" xr:uid="{7D973FD1-ED4E-4ADC-A63A-44855A1EAB79}"/>
    <cellStyle name="Header2 2" xfId="39" xr:uid="{749CCB7E-AAD4-400E-A1A0-5E80BDBCD002}"/>
    <cellStyle name="Normal_ SG&amp;A Bridge " xfId="40" xr:uid="{79D089E1-B0EB-49DF-A5A5-371F3618C3AF}"/>
    <cellStyle name="강조색1 2" xfId="41" xr:uid="{BB011679-8F72-411D-8950-C768E4B152A0}"/>
    <cellStyle name="강조색2 2" xfId="42" xr:uid="{ADBD34C6-6C5D-440A-9CAB-E91095DEE683}"/>
    <cellStyle name="강조색3 2" xfId="43" xr:uid="{AFB311CD-106D-4C89-A441-04D37CA43455}"/>
    <cellStyle name="강조색4 2" xfId="44" xr:uid="{1CAA9C6F-D5D7-4C75-B3B8-A1F0ED0248EC}"/>
    <cellStyle name="강조색5 2" xfId="45" xr:uid="{38D6CE5F-1259-45DE-BB50-2FE11B4F1523}"/>
    <cellStyle name="강조색6 2" xfId="46" xr:uid="{7BEA5BB6-771C-4BD0-9CA4-C4100FD38062}"/>
    <cellStyle name="경고문 2" xfId="47" xr:uid="{DB47D8BD-9FFC-47FF-89FD-8A60D05B5829}"/>
    <cellStyle name="계산 2" xfId="48" xr:uid="{2BBB74E9-734C-4C82-BC84-FCD554F2620C}"/>
    <cellStyle name="고정소숫점" xfId="49" xr:uid="{9F96E0E4-A138-4BC6-A8F2-558EF224C083}"/>
    <cellStyle name="고정출력1" xfId="50" xr:uid="{E14135FB-11C5-4D7B-B6AF-B4ED23A16F9E}"/>
    <cellStyle name="고정출력2" xfId="51" xr:uid="{EB8EC82A-482B-4401-9E11-F9A22FE79263}"/>
    <cellStyle name="나쁨 2" xfId="52" xr:uid="{2595B6E5-96EA-4BF7-852D-3D5F919DFB22}"/>
    <cellStyle name="날짜" xfId="53" xr:uid="{F59C4301-B55A-43AE-B047-2D3B99BF5098}"/>
    <cellStyle name="메모 2" xfId="54" xr:uid="{4CA56F11-4B27-49F8-AE4B-E53BD2023AA3}"/>
    <cellStyle name="백분율" xfId="55" builtinId="5"/>
    <cellStyle name="백분율 2" xfId="56" xr:uid="{09EC919E-A47B-4BD3-A7AA-6CF2273462FD}"/>
    <cellStyle name="백분율 2 2" xfId="57" xr:uid="{B0DD9E4E-C8A9-427C-9BF5-93CDC520081F}"/>
    <cellStyle name="백분율 2 3" xfId="58" xr:uid="{130DB6D0-38AB-498E-AA64-71F193F0C05F}"/>
    <cellStyle name="백분율 2 4" xfId="59" xr:uid="{5B181FC3-6224-4236-BBA4-1A230EE89893}"/>
    <cellStyle name="백분율 2 5" xfId="60" xr:uid="{2E734738-0BB7-4D30-A80A-D7134D38C5B3}"/>
    <cellStyle name="보통 2" xfId="61" xr:uid="{B290775F-D98A-4C82-A0A8-BACB26FCF435}"/>
    <cellStyle name="뷭?_BOOKSHIP" xfId="62" xr:uid="{3728920B-CE0F-4F96-A704-69B3729A6C75}"/>
    <cellStyle name="설명 텍스트 2" xfId="63" xr:uid="{E863DDAB-C468-4E4A-8FF9-C55C53CB8AEC}"/>
    <cellStyle name="셀 확인 2" xfId="64" xr:uid="{ED66F6CF-CBE3-41C4-8FF1-CC5C7EDDBBD5}"/>
    <cellStyle name="쉼표" xfId="65" builtinId="3"/>
    <cellStyle name="쉼표 [0]" xfId="66" builtinId="6"/>
    <cellStyle name="쉼표 [0] 2 2" xfId="67" xr:uid="{F0EC1490-C873-4CF7-AF4E-175A8521B329}"/>
    <cellStyle name="쉼표 [0] 2 3" xfId="68" xr:uid="{6AB858E4-AECA-4A4F-AF49-56ECB04D99D7}"/>
    <cellStyle name="쉼표 [0] 2 4" xfId="69" xr:uid="{7A1A9A29-34A2-418C-9DBC-2F371D1FC5EB}"/>
    <cellStyle name="쉼표 [0] 2 5" xfId="70" xr:uid="{D0DAB9F3-A589-4564-B72B-148353EE18D2}"/>
    <cellStyle name="쉼표 [0] 2 6" xfId="71" xr:uid="{2362DA23-DDEE-4AEA-A521-34E36D9BE243}"/>
    <cellStyle name="쉼표 [0] 2 7" xfId="72" xr:uid="{B740D153-15F9-4444-8B3A-2AEE9BA57C74}"/>
    <cellStyle name="쉼표 [0] 3 2" xfId="73" xr:uid="{DA044D20-EEF2-43FB-AEE8-33EEF2F6AC1B}"/>
    <cellStyle name="쉼표 [0] 3 3" xfId="74" xr:uid="{F6F706D1-6357-470F-8ED5-470E52FA7C26}"/>
    <cellStyle name="쉼표 [0] 3 4" xfId="75" xr:uid="{91BE3B9C-4203-465F-83FC-4A48372F6C68}"/>
    <cellStyle name="쉼표 [0] 3 5" xfId="76" xr:uid="{B1B2AB4C-579F-49A8-8907-502B5B7A91CE}"/>
    <cellStyle name="쉼표 [0] 4 2" xfId="77" xr:uid="{9E7FF83B-3B5D-44A0-A08F-475D3252A5AE}"/>
    <cellStyle name="쉼표 [0] 4 2 2" xfId="78" xr:uid="{F3B2E140-8F99-4C40-89B0-91544169B5BE}"/>
    <cellStyle name="쉼표 [0] 4 2 3" xfId="79" xr:uid="{770E4CF2-E3D0-4A29-A46F-EC42A0CCEFDB}"/>
    <cellStyle name="쉼표 [0] 4 2 4" xfId="80" xr:uid="{064D8F77-63DC-4396-9C6E-84EB044D2027}"/>
    <cellStyle name="쉼표 [0] 4 2 5" xfId="81" xr:uid="{88A056AC-D348-4654-A09C-A9B16A17FD9C}"/>
    <cellStyle name="쉼표 [0] 4 3" xfId="82" xr:uid="{9DB1B5A1-A814-40A5-A507-9E74F5781CE0}"/>
    <cellStyle name="쉼표 [0] 4 4" xfId="83" xr:uid="{022C41FD-B39C-4A13-BB02-F51BE5100C39}"/>
    <cellStyle name="쉼표 [0] 4 5" xfId="84" xr:uid="{DE751F7A-D672-44A5-8F75-6575EA070CE8}"/>
    <cellStyle name="쉼표 [0] 5 2" xfId="85" xr:uid="{F31782A8-C7C1-4AE9-99FE-6275C9E9E6C2}"/>
    <cellStyle name="쉼표 [0] 6" xfId="86" xr:uid="{AB89FE83-BB1E-42F7-AA0C-32AEDBC33BC6}"/>
    <cellStyle name="쉼표 [0] 6 2" xfId="87" xr:uid="{A1382E92-4C7C-435F-A058-8A4C72D88137}"/>
    <cellStyle name="쉼표 [0] 6 2 2" xfId="88" xr:uid="{70FC5FD5-655F-421B-A2E8-331F255E9936}"/>
    <cellStyle name="쉼표 [0] 6 3" xfId="89" xr:uid="{98E8F494-7A7D-42C2-AC13-15A053FFAC9E}"/>
    <cellStyle name="쉼표 [0] 7 2" xfId="90" xr:uid="{C8719452-21A7-4B80-9993-6A650A8099BE}"/>
    <cellStyle name="쉼표 2" xfId="91" xr:uid="{7C0CCE04-09A6-4C54-9ECA-2A41086218CA}"/>
    <cellStyle name="스타일 1" xfId="92" xr:uid="{A3A2C076-CF38-4192-8F7A-94691841325B}"/>
    <cellStyle name="연결된 셀 2" xfId="93" xr:uid="{C349FA4B-F8B8-4605-BA51-9D193BC38953}"/>
    <cellStyle name="요약 2" xfId="94" xr:uid="{826D1BE6-60EE-40BB-80D0-27E89DA149F7}"/>
    <cellStyle name="입력 2" xfId="95" xr:uid="{69334099-4AE0-4A5D-9356-2567F15A7686}"/>
    <cellStyle name="자리수" xfId="96" xr:uid="{0602774F-2DED-467F-8503-D1D1548FE91A}"/>
    <cellStyle name="자리수 - 유형3" xfId="97" xr:uid="{59946A33-D810-4229-AF47-1262FB755A36}"/>
    <cellStyle name="자리수0" xfId="98" xr:uid="{BEC89F2B-FA27-4DBD-9EF4-F96905B7EAD5}"/>
    <cellStyle name="제목 1 2" xfId="99" xr:uid="{BE7F3722-9520-4183-B726-DD82C7600AD2}"/>
    <cellStyle name="제목 2 2" xfId="100" xr:uid="{9B443F4A-7CAC-4B46-873F-3085B8A1B0F4}"/>
    <cellStyle name="제목 3 2" xfId="101" xr:uid="{E431F575-0B01-473E-9A22-9484DDE1CA5F}"/>
    <cellStyle name="제목 4 2" xfId="102" xr:uid="{09409B48-6E08-4E4F-B8E3-21FEB155F112}"/>
    <cellStyle name="제목 5" xfId="103" xr:uid="{64C912F1-283C-4A4B-BE9C-8745D8185306}"/>
    <cellStyle name="좋음 2" xfId="104" xr:uid="{C7E8981B-86F2-4E1F-9139-95BD2503A559}"/>
    <cellStyle name="지정되지 않음" xfId="105" xr:uid="{FB80648A-7E36-47ED-9096-F58CEC4B090E}"/>
    <cellStyle name="출력 2" xfId="106" xr:uid="{581400EB-5F4C-4693-9179-0ED7406701F2}"/>
    <cellStyle name="콤마 [0]" xfId="107" xr:uid="{D880FB26-7B40-4CED-859B-621D4D7B3F73}"/>
    <cellStyle name="콤마_10월2주 " xfId="108" xr:uid="{833E615B-8CC3-409B-91BF-C0CF61948F2B}"/>
    <cellStyle name="통화" xfId="109" builtinId="4"/>
    <cellStyle name="통화 [0] 2" xfId="110" xr:uid="{A61EFAA7-9B49-42FB-B8E3-C9563357617C}"/>
    <cellStyle name="통화 [0] 2 2" xfId="111" xr:uid="{C84E6E83-D8D9-4952-8479-AEEF494B6122}"/>
    <cellStyle name="통화 [0] 2 3" xfId="112" xr:uid="{4DC72A2A-A44E-44FE-9F03-E29C891DAA3F}"/>
    <cellStyle name="통화 2" xfId="113" xr:uid="{00C8BCBD-910A-4C81-8C37-5AEA1FB9A7B0}"/>
    <cellStyle name="통화 3" xfId="114" xr:uid="{FF40E6D2-5A12-48F0-8D32-B7147228B80D}"/>
    <cellStyle name="퍼센트" xfId="115" xr:uid="{E50E5EFC-5158-41D8-BAB8-CC4678C32D6D}"/>
    <cellStyle name="표준" xfId="0" builtinId="0"/>
    <cellStyle name="표준 2 2" xfId="116" xr:uid="{B81BD887-050C-4FDB-BCDA-1BD233588FFD}"/>
    <cellStyle name="표준 2 2 2" xfId="117" xr:uid="{E582F3F8-ECEC-4779-B83E-C191E87D8398}"/>
    <cellStyle name="표준 2 3" xfId="118" xr:uid="{CAAC7799-7B56-4973-BA17-ED83129F7542}"/>
    <cellStyle name="표준 2 3 2" xfId="119" xr:uid="{3D1BB537-1657-436C-A699-97EF1C3672E2}"/>
    <cellStyle name="표준 2 4" xfId="120" xr:uid="{93DBECAA-C599-4B94-82BF-F1A84924B761}"/>
    <cellStyle name="표준 2 5" xfId="121" xr:uid="{9D282A07-71E7-4816-89FD-FA1B4D9C65ED}"/>
    <cellStyle name="표준 2 6" xfId="122" xr:uid="{7EFFBC58-0100-4F6C-AB02-03D8A1B37D2E}"/>
    <cellStyle name="표준 29" xfId="123" xr:uid="{1E3E855F-B4C7-4456-8376-0A498C37DC49}"/>
    <cellStyle name="표준 3 2" xfId="124" xr:uid="{5F9766B7-46C2-458C-A350-2F563AE86242}"/>
    <cellStyle name="표준 3 2 2" xfId="125" xr:uid="{25E8FAA7-3FCE-43CC-9B37-BED36582E73D}"/>
    <cellStyle name="표준 3 2 3" xfId="126" xr:uid="{26AD3D35-71F6-4D77-9278-C959CCC26E2A}"/>
    <cellStyle name="표준 3 2 4" xfId="127" xr:uid="{A6DF21B1-5AA7-4135-B827-EF94450A3BD5}"/>
    <cellStyle name="표준 3 2 5" xfId="128" xr:uid="{05598A87-16FD-4787-9B4C-2C09AEB61C2D}"/>
    <cellStyle name="표준 3 3" xfId="129" xr:uid="{3E6C5FCF-2674-452D-9001-0D192B29EF43}"/>
    <cellStyle name="표준 3 4" xfId="130" xr:uid="{570EE0B3-4CBD-4F8F-9146-F77F6E0DE690}"/>
    <cellStyle name="표준 3 5" xfId="131" xr:uid="{2A697783-8D15-4D8C-ACD4-0B44FC403F99}"/>
    <cellStyle name="표준 30" xfId="132" xr:uid="{81EE70EB-7C0C-44CA-868C-0FDFC9DDA011}"/>
    <cellStyle name="표준 31" xfId="133" xr:uid="{9324B35F-6906-4648-BD34-6782B0940923}"/>
    <cellStyle name="표준 32" xfId="134" xr:uid="{561E14FE-B0B9-4865-B2F6-8115ACAC1B8E}"/>
    <cellStyle name="표준 33" xfId="135" xr:uid="{564AE739-C1B0-42AE-AC55-699442D74582}"/>
    <cellStyle name="표준 34" xfId="136" xr:uid="{660D58E3-C4B7-4256-A2EA-A29BD29EA834}"/>
    <cellStyle name="표준 35" xfId="137" xr:uid="{BCB50482-93AE-42EE-925F-91B98FD82044}"/>
    <cellStyle name="표준 4 2" xfId="138" xr:uid="{00E88ADF-26FE-4A97-A8B4-52EC7E8BD063}"/>
    <cellStyle name="표준 4 3" xfId="139" xr:uid="{DA76229D-5C59-4C0B-83DC-504A86EE7BD4}"/>
    <cellStyle name="표준 4 4" xfId="140" xr:uid="{2692493E-1B6F-405D-A4BF-9955559436CF}"/>
    <cellStyle name="표준 4 5" xfId="141" xr:uid="{874461E2-48A2-48F5-A439-FA15495F29CF}"/>
    <cellStyle name="표준 5" xfId="142" xr:uid="{AF19679D-D695-4529-83B4-A3FD8D28F7C5}"/>
    <cellStyle name="표준 5 2" xfId="143" xr:uid="{36C5F9D6-F8FB-44BA-A449-2C5F79B9B98E}"/>
    <cellStyle name="표준 5 2 2" xfId="144" xr:uid="{CBD9E672-4F9B-498E-BC3A-97DEFAD1B923}"/>
    <cellStyle name="표준 6" xfId="145" xr:uid="{76CC1F45-2B81-44DB-BB49-46E1F9FAEE5C}"/>
    <cellStyle name="표준 6 2" xfId="146" xr:uid="{9403642B-41BB-475E-9AEE-316D82482957}"/>
    <cellStyle name="표준 6 2 2" xfId="147" xr:uid="{7FA8DD69-5888-4FB3-B0E6-991DEA044602}"/>
    <cellStyle name="표준 7 2" xfId="148" xr:uid="{FA1E09CC-4FA0-483A-869E-FBEDE5CE7F59}"/>
    <cellStyle name="표준 8 2" xfId="149" xr:uid="{B774769A-1F08-43E7-A608-D83C0CB4205E}"/>
    <cellStyle name="표준 9 2" xfId="150" xr:uid="{0A5AF512-8B8D-4731-A1EA-8D8FB9B22C44}"/>
    <cellStyle name="하이퍼링크" xfId="151" builtinId="8"/>
    <cellStyle name="합산" xfId="152" xr:uid="{B8687BA8-06F5-4B6E-AC8D-133FAEAB3507}"/>
    <cellStyle name="헤드라인" xfId="153" xr:uid="{0A43C6B5-1ED3-4497-BF20-708BE6F5F7C6}"/>
    <cellStyle name="화폐기호" xfId="154" xr:uid="{A73FBBB8-3714-465A-B1F7-3C489E777692}"/>
    <cellStyle name="화폐기호0" xfId="155" xr:uid="{799CD668-4FEC-4629-8CE3-08BD4760F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251</xdr:row>
      <xdr:rowOff>161925</xdr:rowOff>
    </xdr:from>
    <xdr:to>
      <xdr:col>2</xdr:col>
      <xdr:colOff>2352675</xdr:colOff>
      <xdr:row>256</xdr:row>
      <xdr:rowOff>19050</xdr:rowOff>
    </xdr:to>
    <xdr:pic>
      <xdr:nvPicPr>
        <xdr:cNvPr id="18478" name="Picture 6" descr="Untitled-3">
          <a:extLst>
            <a:ext uri="{FF2B5EF4-FFF2-40B4-BE49-F238E27FC236}">
              <a16:creationId xmlns:a16="http://schemas.microsoft.com/office/drawing/2014/main" id="{FA119B45-C11A-CC32-7EBB-F8AACC89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" y="55511700"/>
          <a:ext cx="21621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685800</xdr:colOff>
      <xdr:row>6</xdr:row>
      <xdr:rowOff>123825</xdr:rowOff>
    </xdr:from>
    <xdr:to>
      <xdr:col>7</xdr:col>
      <xdr:colOff>409575</xdr:colOff>
      <xdr:row>10</xdr:row>
      <xdr:rowOff>28575</xdr:rowOff>
    </xdr:to>
    <xdr:pic>
      <xdr:nvPicPr>
        <xdr:cNvPr id="18479" name="Picture 30" descr="스캔">
          <a:extLst>
            <a:ext uri="{FF2B5EF4-FFF2-40B4-BE49-F238E27FC236}">
              <a16:creationId xmlns:a16="http://schemas.microsoft.com/office/drawing/2014/main" id="{9844064C-E2A0-2386-FA89-52FED9661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1362075"/>
          <a:ext cx="71437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37</xdr:row>
      <xdr:rowOff>9525</xdr:rowOff>
    </xdr:from>
    <xdr:to>
      <xdr:col>2</xdr:col>
      <xdr:colOff>981075</xdr:colOff>
      <xdr:row>40</xdr:row>
      <xdr:rowOff>104775</xdr:rowOff>
    </xdr:to>
    <xdr:pic>
      <xdr:nvPicPr>
        <xdr:cNvPr id="18480" name="Picture 21" descr="Untitled-3">
          <a:extLst>
            <a:ext uri="{FF2B5EF4-FFF2-40B4-BE49-F238E27FC236}">
              <a16:creationId xmlns:a16="http://schemas.microsoft.com/office/drawing/2014/main" id="{2C3CB4B6-D20E-DA59-364E-FE1BF689D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8602325"/>
          <a:ext cx="19812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47625</xdr:colOff>
      <xdr:row>21</xdr:row>
      <xdr:rowOff>85725</xdr:rowOff>
    </xdr:from>
    <xdr:to>
      <xdr:col>7</xdr:col>
      <xdr:colOff>1209675</xdr:colOff>
      <xdr:row>21</xdr:row>
      <xdr:rowOff>742950</xdr:rowOff>
    </xdr:to>
    <xdr:pic>
      <xdr:nvPicPr>
        <xdr:cNvPr id="18481" name="그림 9">
          <a:extLst>
            <a:ext uri="{FF2B5EF4-FFF2-40B4-BE49-F238E27FC236}">
              <a16:creationId xmlns:a16="http://schemas.microsoft.com/office/drawing/2014/main" id="{2493D1B9-9A06-CD93-162A-1D532C7D2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20" b="23248"/>
        <a:stretch>
          <a:fillRect/>
        </a:stretch>
      </xdr:blipFill>
      <xdr:spPr bwMode="auto">
        <a:xfrm>
          <a:off x="8315325" y="7324725"/>
          <a:ext cx="11620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247650</xdr:colOff>
      <xdr:row>22</xdr:row>
      <xdr:rowOff>0</xdr:rowOff>
    </xdr:from>
    <xdr:to>
      <xdr:col>7</xdr:col>
      <xdr:colOff>1000125</xdr:colOff>
      <xdr:row>22</xdr:row>
      <xdr:rowOff>752475</xdr:rowOff>
    </xdr:to>
    <xdr:pic>
      <xdr:nvPicPr>
        <xdr:cNvPr id="18482" name="그림 10">
          <a:extLst>
            <a:ext uri="{FF2B5EF4-FFF2-40B4-BE49-F238E27FC236}">
              <a16:creationId xmlns:a16="http://schemas.microsoft.com/office/drawing/2014/main" id="{1B2C464D-D2F2-CC5A-9C37-F464129D7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8067675"/>
          <a:ext cx="7524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247650</xdr:colOff>
      <xdr:row>22</xdr:row>
      <xdr:rowOff>0</xdr:rowOff>
    </xdr:from>
    <xdr:to>
      <xdr:col>7</xdr:col>
      <xdr:colOff>1000125</xdr:colOff>
      <xdr:row>22</xdr:row>
      <xdr:rowOff>752475</xdr:rowOff>
    </xdr:to>
    <xdr:pic>
      <xdr:nvPicPr>
        <xdr:cNvPr id="18483" name="그림 11">
          <a:extLst>
            <a:ext uri="{FF2B5EF4-FFF2-40B4-BE49-F238E27FC236}">
              <a16:creationId xmlns:a16="http://schemas.microsoft.com/office/drawing/2014/main" id="{4076EC87-13A8-9950-3DCF-C9747FA79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8067675"/>
          <a:ext cx="7524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38100</xdr:colOff>
      <xdr:row>22</xdr:row>
      <xdr:rowOff>38100</xdr:rowOff>
    </xdr:from>
    <xdr:to>
      <xdr:col>7</xdr:col>
      <xdr:colOff>1219200</xdr:colOff>
      <xdr:row>22</xdr:row>
      <xdr:rowOff>790575</xdr:rowOff>
    </xdr:to>
    <xdr:pic>
      <xdr:nvPicPr>
        <xdr:cNvPr id="18484" name="그림 12">
          <a:extLst>
            <a:ext uri="{FF2B5EF4-FFF2-40B4-BE49-F238E27FC236}">
              <a16:creationId xmlns:a16="http://schemas.microsoft.com/office/drawing/2014/main" id="{198819C5-FDF5-192A-0B59-00D6E1B4A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0" y="8105775"/>
          <a:ext cx="11811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57150</xdr:colOff>
      <xdr:row>16</xdr:row>
      <xdr:rowOff>47625</xdr:rowOff>
    </xdr:from>
    <xdr:to>
      <xdr:col>7</xdr:col>
      <xdr:colOff>1200150</xdr:colOff>
      <xdr:row>16</xdr:row>
      <xdr:rowOff>781050</xdr:rowOff>
    </xdr:to>
    <xdr:pic>
      <xdr:nvPicPr>
        <xdr:cNvPr id="18486" name="그림 2">
          <a:extLst>
            <a:ext uri="{FF2B5EF4-FFF2-40B4-BE49-F238E27FC236}">
              <a16:creationId xmlns:a16="http://schemas.microsoft.com/office/drawing/2014/main" id="{85969275-384F-3978-6E7B-F4908B433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4850" y="3143250"/>
          <a:ext cx="11430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38100</xdr:colOff>
      <xdr:row>17</xdr:row>
      <xdr:rowOff>66675</xdr:rowOff>
    </xdr:from>
    <xdr:to>
      <xdr:col>7</xdr:col>
      <xdr:colOff>1219200</xdr:colOff>
      <xdr:row>17</xdr:row>
      <xdr:rowOff>790575</xdr:rowOff>
    </xdr:to>
    <xdr:pic>
      <xdr:nvPicPr>
        <xdr:cNvPr id="18487" name="그림 3">
          <a:extLst>
            <a:ext uri="{FF2B5EF4-FFF2-40B4-BE49-F238E27FC236}">
              <a16:creationId xmlns:a16="http://schemas.microsoft.com/office/drawing/2014/main" id="{4F863AEC-06BE-A56A-4E0D-C44453909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0" y="3990975"/>
          <a:ext cx="11811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28575</xdr:colOff>
      <xdr:row>18</xdr:row>
      <xdr:rowOff>66675</xdr:rowOff>
    </xdr:from>
    <xdr:to>
      <xdr:col>7</xdr:col>
      <xdr:colOff>1228725</xdr:colOff>
      <xdr:row>18</xdr:row>
      <xdr:rowOff>781050</xdr:rowOff>
    </xdr:to>
    <xdr:pic>
      <xdr:nvPicPr>
        <xdr:cNvPr id="18488" name="그림 4">
          <a:extLst>
            <a:ext uri="{FF2B5EF4-FFF2-40B4-BE49-F238E27FC236}">
              <a16:creationId xmlns:a16="http://schemas.microsoft.com/office/drawing/2014/main" id="{FCC6E8E4-A887-7C3C-B15C-CA0F5C2A1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4819650"/>
          <a:ext cx="12001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66675</xdr:colOff>
      <xdr:row>19</xdr:row>
      <xdr:rowOff>47625</xdr:rowOff>
    </xdr:from>
    <xdr:to>
      <xdr:col>7</xdr:col>
      <xdr:colOff>1219200</xdr:colOff>
      <xdr:row>19</xdr:row>
      <xdr:rowOff>781050</xdr:rowOff>
    </xdr:to>
    <xdr:pic>
      <xdr:nvPicPr>
        <xdr:cNvPr id="18489" name="그림 5">
          <a:extLst>
            <a:ext uri="{FF2B5EF4-FFF2-40B4-BE49-F238E27FC236}">
              <a16:creationId xmlns:a16="http://schemas.microsoft.com/office/drawing/2014/main" id="{AAA66B2B-C884-990A-0848-D0ADDCBB4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29275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66675</xdr:colOff>
      <xdr:row>24</xdr:row>
      <xdr:rowOff>47625</xdr:rowOff>
    </xdr:from>
    <xdr:to>
      <xdr:col>7</xdr:col>
      <xdr:colOff>1200150</xdr:colOff>
      <xdr:row>24</xdr:row>
      <xdr:rowOff>800100</xdr:rowOff>
    </xdr:to>
    <xdr:pic>
      <xdr:nvPicPr>
        <xdr:cNvPr id="18490" name="그림 20">
          <a:extLst>
            <a:ext uri="{FF2B5EF4-FFF2-40B4-BE49-F238E27FC236}">
              <a16:creationId xmlns:a16="http://schemas.microsoft.com/office/drawing/2014/main" id="{D9AAFD49-85A7-0833-7831-22F56CBA0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9772650"/>
          <a:ext cx="11334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23</xdr:row>
      <xdr:rowOff>28575</xdr:rowOff>
    </xdr:from>
    <xdr:to>
      <xdr:col>7</xdr:col>
      <xdr:colOff>1019175</xdr:colOff>
      <xdr:row>23</xdr:row>
      <xdr:rowOff>809625</xdr:rowOff>
    </xdr:to>
    <xdr:pic>
      <xdr:nvPicPr>
        <xdr:cNvPr id="18492" name="그림 3">
          <a:extLst>
            <a:ext uri="{FF2B5EF4-FFF2-40B4-BE49-F238E27FC236}">
              <a16:creationId xmlns:a16="http://schemas.microsoft.com/office/drawing/2014/main" id="{2029BE8F-37E9-BC48-B1B4-5A051F434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05825" y="8924925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48512;&#48708;&#54408;(&#51060;&#51116;&#44396;)&#51064;&#44228;&#51064;&#49688;\10&#45380;\&#44396;&#47588;&#44228;&#54925;\03.%20&#50864;&#49340;&#48120;&#52488;\&#50864;&#49340;&#48120;1&#52264;&#44396;&#47588;&#44228;&#54925;&#49436;(&#52572;&#5133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com01\zinna\Documents%20and%20Settings\KNE\Local%20Settings\Temporary%20Internet%20Files\Content.IE5\RBD51156\&#54617;&#44368;&#48324;&#45824;&#44552;&#52397;&#44396;&#45236;&#50669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48512;&#48708;&#54408;(&#51060;&#51116;&#44396;)&#51064;&#44228;&#51064;&#49688;\10&#45380;\&#44396;&#47588;&#44228;&#54925;\03.%20&#50864;&#49340;&#48120;&#52488;\1&#52264;&#44396;&#47588;&#44228;&#54925;_&#49688;&#51221;&#48372;&#44256;(100107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&#44228;&#50557;\01&#54617;&#44368;&#44277;&#49324;\&#50984;&#47785;&#51473;\&#53685;&#49888;\&#44277;&#49324;&#44228;&#50557;&#49436;(&#50984;&#47785;&#51473;&#53685;&#49888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com01\zinna\1.&#51221;&#54984;-project\2.%20BTL%20&#49324;&#50629;%20&#44148;\7.&#49888;&#54620;&#44148;&#49444;\4.&#54413;&#45212;&#51473;(&#54413;&#49328;)\&#54413;&#49328;&#51473;-&#45236;&#50669;&#49436;&#48143;&#49884;&#48169;&#494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신천고등학교"/>
      <sheetName val="우삼미초등학교 "/>
      <sheetName val="세교중학교"/>
      <sheetName val="매홀1중학교"/>
      <sheetName val="금암고등학교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합계"/>
      <sheetName val="심곡초5차"/>
      <sheetName val="한일초5차"/>
      <sheetName val="고림중5차"/>
      <sheetName val="석우중(4차)"/>
      <sheetName val="오산원일초(2차)"/>
      <sheetName val="와우초 2007.7.4(1차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신천고등학교"/>
      <sheetName val="우삼미초등학교"/>
      <sheetName val="세교중학교"/>
      <sheetName val="매홀1중학교"/>
      <sheetName val="금암고등학교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계약체결의건"/>
      <sheetName val="Sheet2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속지"/>
      <sheetName val="목차"/>
      <sheetName val="내역서"/>
      <sheetName val="보통교실"/>
      <sheetName val="교장실"/>
      <sheetName val="행정실"/>
      <sheetName val="교무실"/>
      <sheetName val="과학실"/>
      <sheetName val="음악실"/>
      <sheetName val="미술실"/>
      <sheetName val="컴퓨터실"/>
      <sheetName val="시청각실"/>
      <sheetName val="보건위생실"/>
      <sheetName val="상담실"/>
      <sheetName val="교원휴게실"/>
      <sheetName val="도서실"/>
      <sheetName val="예절실"/>
      <sheetName val="행정장비"/>
      <sheetName val="체육시설"/>
      <sheetName val="다목적강당"/>
      <sheetName val="기타비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ms8101@korea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76A1-6D10-46BE-89FC-9A09544C2A4D}">
  <dimension ref="A1:M56"/>
  <sheetViews>
    <sheetView tabSelected="1" topLeftCell="A23" zoomScale="115" zoomScaleNormal="115" workbookViewId="0">
      <selection activeCell="F26" sqref="F26"/>
    </sheetView>
  </sheetViews>
  <sheetFormatPr defaultRowHeight="13.5"/>
  <cols>
    <col min="1" max="1" width="4.109375" style="5" customWidth="1"/>
    <col min="2" max="2" width="14.44140625" style="5" customWidth="1"/>
    <col min="3" max="3" width="44.88671875" style="3" customWidth="1"/>
    <col min="4" max="4" width="5" style="5" customWidth="1"/>
    <col min="5" max="5" width="5" style="3" customWidth="1"/>
    <col min="6" max="6" width="11.44140625" style="3" customWidth="1"/>
    <col min="7" max="7" width="11.5546875" style="3" customWidth="1"/>
    <col min="8" max="8" width="14.6640625" style="3" customWidth="1"/>
    <col min="9" max="16384" width="8.88671875" style="3"/>
  </cols>
  <sheetData>
    <row r="1" spans="1:10" ht="33.75" customHeight="1">
      <c r="A1" s="90" t="s">
        <v>18</v>
      </c>
      <c r="B1" s="90"/>
      <c r="C1" s="90"/>
      <c r="D1" s="90"/>
      <c r="E1" s="90"/>
      <c r="F1" s="90"/>
      <c r="G1" s="90"/>
      <c r="H1" s="19"/>
    </row>
    <row r="2" spans="1:10" ht="12.75" customHeight="1">
      <c r="A2" s="4"/>
      <c r="B2" s="4"/>
      <c r="C2" s="4"/>
      <c r="D2" s="4"/>
      <c r="E2" s="4"/>
      <c r="F2" s="4"/>
      <c r="G2" s="4"/>
      <c r="H2" s="19"/>
    </row>
    <row r="3" spans="1:10" ht="12.75" customHeight="1">
      <c r="A3" s="91" t="s">
        <v>23</v>
      </c>
      <c r="B3" s="91"/>
      <c r="C3" s="91"/>
      <c r="D3" s="24" t="s">
        <v>32</v>
      </c>
      <c r="E3" s="24"/>
      <c r="F3" s="24"/>
      <c r="G3" s="92" t="s">
        <v>20</v>
      </c>
      <c r="H3" s="93"/>
    </row>
    <row r="4" spans="1:10" ht="12.75" customHeight="1">
      <c r="A4" s="91" t="s">
        <v>24</v>
      </c>
      <c r="B4" s="91"/>
      <c r="C4" s="91"/>
      <c r="D4" s="24" t="s">
        <v>33</v>
      </c>
      <c r="E4" s="24"/>
      <c r="F4" s="24"/>
      <c r="G4" s="2" t="s">
        <v>21</v>
      </c>
      <c r="H4" s="25"/>
    </row>
    <row r="5" spans="1:10" ht="12.75" customHeight="1">
      <c r="A5" s="91" t="s">
        <v>25</v>
      </c>
      <c r="B5" s="91"/>
      <c r="C5" s="91"/>
      <c r="D5" s="94" t="s">
        <v>19</v>
      </c>
      <c r="E5" s="95"/>
      <c r="F5" s="95"/>
      <c r="G5" s="95"/>
      <c r="H5" s="96"/>
    </row>
    <row r="6" spans="1:10" ht="12.75" customHeight="1">
      <c r="A6" s="91" t="s">
        <v>26</v>
      </c>
      <c r="B6" s="91"/>
      <c r="C6" s="91"/>
      <c r="D6" s="97"/>
      <c r="E6" s="98"/>
      <c r="F6" s="98"/>
      <c r="G6" s="98"/>
      <c r="H6" s="99"/>
    </row>
    <row r="7" spans="1:10" ht="12.75" customHeight="1">
      <c r="A7" s="81" t="s">
        <v>27</v>
      </c>
      <c r="B7" s="81"/>
      <c r="C7" s="81"/>
      <c r="D7" s="97"/>
      <c r="E7" s="98"/>
      <c r="F7" s="98"/>
      <c r="G7" s="98"/>
      <c r="H7" s="99"/>
    </row>
    <row r="8" spans="1:10" ht="12.75" customHeight="1">
      <c r="A8" s="81" t="s">
        <v>28</v>
      </c>
      <c r="B8" s="81"/>
      <c r="C8" s="81"/>
      <c r="D8" s="97"/>
      <c r="E8" s="98"/>
      <c r="F8" s="98"/>
      <c r="G8" s="98"/>
      <c r="H8" s="99"/>
      <c r="J8"/>
    </row>
    <row r="9" spans="1:10" ht="12.75" customHeight="1">
      <c r="A9" s="80" t="s">
        <v>55</v>
      </c>
      <c r="B9" s="80"/>
      <c r="C9" s="80"/>
      <c r="D9" s="83" t="s">
        <v>34</v>
      </c>
      <c r="E9" s="84"/>
      <c r="F9" s="84"/>
      <c r="G9" s="84"/>
      <c r="H9" s="85"/>
    </row>
    <row r="10" spans="1:10" ht="12.75" customHeight="1">
      <c r="A10" s="80"/>
      <c r="B10" s="80"/>
      <c r="C10" s="80"/>
      <c r="D10" s="22" t="s">
        <v>41</v>
      </c>
      <c r="E10" s="20"/>
      <c r="F10" s="20"/>
      <c r="G10" s="20"/>
      <c r="H10" s="21"/>
    </row>
    <row r="11" spans="1:10" s="1" customFormat="1" ht="12.75" customHeight="1">
      <c r="A11" s="80"/>
      <c r="B11" s="80"/>
      <c r="C11" s="80"/>
      <c r="D11" s="86" t="s">
        <v>35</v>
      </c>
      <c r="E11" s="87"/>
      <c r="F11" s="87"/>
      <c r="G11" s="87"/>
      <c r="H11" s="88"/>
    </row>
    <row r="12" spans="1:10" s="1" customFormat="1" ht="12.75" customHeight="1">
      <c r="A12" s="82">
        <v>46092</v>
      </c>
      <c r="B12" s="82"/>
      <c r="C12" s="82"/>
      <c r="D12" s="89" t="s">
        <v>30</v>
      </c>
      <c r="E12" s="89"/>
      <c r="F12" s="89"/>
      <c r="G12" s="89"/>
      <c r="H12" s="89"/>
    </row>
    <row r="13" spans="1:10" s="1" customFormat="1" ht="12.75" customHeight="1">
      <c r="A13" s="77" t="s">
        <v>13</v>
      </c>
      <c r="B13" s="77"/>
      <c r="C13" s="77"/>
      <c r="D13" s="78" t="s">
        <v>36</v>
      </c>
      <c r="E13" s="78"/>
      <c r="F13" s="78"/>
      <c r="G13" s="78"/>
      <c r="H13" s="78"/>
      <c r="J13"/>
    </row>
    <row r="14" spans="1:10" s="1" customFormat="1" ht="12.75" customHeight="1">
      <c r="A14" s="79">
        <f>G34</f>
        <v>16527000</v>
      </c>
      <c r="B14" s="79"/>
      <c r="C14" s="79"/>
      <c r="D14" s="23" t="s">
        <v>31</v>
      </c>
      <c r="E14" s="23"/>
      <c r="F14" s="23"/>
      <c r="G14" s="23"/>
      <c r="H14" s="23"/>
    </row>
    <row r="15" spans="1:10" s="1" customFormat="1" ht="17.25" customHeight="1" thickBot="1">
      <c r="A15" s="101">
        <f>G34</f>
        <v>16527000</v>
      </c>
      <c r="B15" s="101"/>
      <c r="C15" s="101"/>
      <c r="D15" s="105" t="s">
        <v>22</v>
      </c>
      <c r="E15" s="105"/>
      <c r="F15" s="105"/>
      <c r="G15" s="105"/>
      <c r="H15" s="105"/>
    </row>
    <row r="16" spans="1:10" s="18" customFormat="1" ht="27" customHeight="1" thickBot="1">
      <c r="A16" s="31" t="s">
        <v>1</v>
      </c>
      <c r="B16" s="32" t="s">
        <v>52</v>
      </c>
      <c r="C16" s="33" t="s">
        <v>14</v>
      </c>
      <c r="D16" s="32" t="s">
        <v>2</v>
      </c>
      <c r="E16" s="33" t="s">
        <v>3</v>
      </c>
      <c r="F16" s="32" t="s">
        <v>15</v>
      </c>
      <c r="G16" s="33" t="s">
        <v>16</v>
      </c>
      <c r="H16" s="34" t="s">
        <v>29</v>
      </c>
    </row>
    <row r="17" spans="1:13" s="18" customFormat="1" ht="65.25" customHeight="1">
      <c r="A17" s="35">
        <v>1</v>
      </c>
      <c r="B17" s="36" t="s">
        <v>56</v>
      </c>
      <c r="C17" s="37" t="s">
        <v>60</v>
      </c>
      <c r="D17" s="38">
        <v>1</v>
      </c>
      <c r="E17" s="38" t="s">
        <v>44</v>
      </c>
      <c r="F17" s="39">
        <v>5500000</v>
      </c>
      <c r="G17" s="40">
        <f t="shared" ref="G17:G26" si="0">D17*F17</f>
        <v>5500000</v>
      </c>
      <c r="H17" s="41"/>
      <c r="K17"/>
    </row>
    <row r="18" spans="1:13" s="18" customFormat="1" ht="65.25" customHeight="1">
      <c r="A18" s="42">
        <v>2</v>
      </c>
      <c r="B18" s="43" t="s">
        <v>58</v>
      </c>
      <c r="C18" s="44" t="s">
        <v>57</v>
      </c>
      <c r="D18" s="45">
        <v>1</v>
      </c>
      <c r="E18" s="73" t="s">
        <v>43</v>
      </c>
      <c r="F18" s="46">
        <v>4900000</v>
      </c>
      <c r="G18" s="47">
        <f t="shared" si="0"/>
        <v>4900000</v>
      </c>
      <c r="H18"/>
      <c r="K18"/>
      <c r="M18"/>
    </row>
    <row r="19" spans="1:13" s="18" customFormat="1" ht="65.25" customHeight="1">
      <c r="A19" s="42">
        <v>3</v>
      </c>
      <c r="B19" s="49">
        <v>201305301242689</v>
      </c>
      <c r="C19" s="50" t="s">
        <v>62</v>
      </c>
      <c r="D19" s="45">
        <v>1</v>
      </c>
      <c r="E19" s="45" t="s">
        <v>44</v>
      </c>
      <c r="F19" s="46">
        <v>2970000</v>
      </c>
      <c r="G19" s="47">
        <f t="shared" si="0"/>
        <v>2970000</v>
      </c>
      <c r="H19"/>
      <c r="K19"/>
    </row>
    <row r="20" spans="1:13" s="18" customFormat="1" ht="65.25" customHeight="1">
      <c r="A20" s="42">
        <v>4</v>
      </c>
      <c r="B20" s="43" t="s">
        <v>59</v>
      </c>
      <c r="C20" s="50" t="s">
        <v>63</v>
      </c>
      <c r="D20" s="45">
        <v>2</v>
      </c>
      <c r="E20" s="45" t="s">
        <v>44</v>
      </c>
      <c r="F20" s="46">
        <v>990000</v>
      </c>
      <c r="G20" s="47">
        <f t="shared" si="0"/>
        <v>1980000</v>
      </c>
      <c r="H20" s="48"/>
      <c r="J20"/>
    </row>
    <row r="21" spans="1:13" s="18" customFormat="1" ht="65.25" customHeight="1">
      <c r="A21" s="42"/>
      <c r="B21" s="51"/>
      <c r="C21" s="50"/>
      <c r="D21" s="45"/>
      <c r="E21" s="45"/>
      <c r="F21" s="46"/>
      <c r="G21" s="47"/>
      <c r="H21" s="48"/>
      <c r="K21"/>
    </row>
    <row r="22" spans="1:13" s="18" customFormat="1" ht="65.25" customHeight="1">
      <c r="A22" s="42">
        <v>6</v>
      </c>
      <c r="B22" s="51" t="s">
        <v>49</v>
      </c>
      <c r="C22" s="50" t="s">
        <v>45</v>
      </c>
      <c r="D22" s="45">
        <v>1</v>
      </c>
      <c r="E22" s="45" t="s">
        <v>46</v>
      </c>
      <c r="F22" s="46">
        <v>297000</v>
      </c>
      <c r="G22" s="47">
        <f t="shared" si="0"/>
        <v>297000</v>
      </c>
      <c r="H22" s="48"/>
      <c r="J22"/>
      <c r="K22"/>
      <c r="L22"/>
    </row>
    <row r="23" spans="1:13" s="18" customFormat="1" ht="65.25" customHeight="1">
      <c r="A23" s="42">
        <v>7</v>
      </c>
      <c r="B23" s="51" t="s">
        <v>50</v>
      </c>
      <c r="C23" s="52" t="s">
        <v>48</v>
      </c>
      <c r="D23" s="53">
        <v>4</v>
      </c>
      <c r="E23" s="53" t="s">
        <v>46</v>
      </c>
      <c r="F23" s="54">
        <v>44000</v>
      </c>
      <c r="G23" s="47">
        <f t="shared" si="0"/>
        <v>176000</v>
      </c>
      <c r="H23" s="48"/>
      <c r="J23"/>
      <c r="K23"/>
    </row>
    <row r="24" spans="1:13" s="18" customFormat="1" ht="65.25" customHeight="1">
      <c r="A24" s="42">
        <v>8</v>
      </c>
      <c r="B24" s="43" t="s">
        <v>66</v>
      </c>
      <c r="C24" s="76" t="s">
        <v>65</v>
      </c>
      <c r="D24" s="53">
        <v>2</v>
      </c>
      <c r="E24" s="53" t="s">
        <v>47</v>
      </c>
      <c r="F24" s="75">
        <v>132000</v>
      </c>
      <c r="G24" s="47">
        <f t="shared" si="0"/>
        <v>264000</v>
      </c>
      <c r="H24" s="48"/>
      <c r="J24"/>
      <c r="K24"/>
    </row>
    <row r="25" spans="1:13" s="18" customFormat="1" ht="65.25" customHeight="1">
      <c r="A25" s="42">
        <v>9</v>
      </c>
      <c r="B25" s="51" t="s">
        <v>51</v>
      </c>
      <c r="C25" s="52" t="s">
        <v>64</v>
      </c>
      <c r="D25" s="53">
        <v>2</v>
      </c>
      <c r="E25" s="53" t="s">
        <v>43</v>
      </c>
      <c r="F25" s="55">
        <v>220000</v>
      </c>
      <c r="G25" s="47">
        <f t="shared" si="0"/>
        <v>440000</v>
      </c>
      <c r="H25" s="48"/>
      <c r="J25"/>
    </row>
    <row r="26" spans="1:13" s="18" customFormat="1" ht="65.25" customHeight="1">
      <c r="A26" s="42">
        <v>10</v>
      </c>
      <c r="B26" s="51" t="s">
        <v>69</v>
      </c>
      <c r="C26" s="50" t="s">
        <v>68</v>
      </c>
      <c r="D26" s="45"/>
      <c r="E26" s="45"/>
      <c r="F26" s="46"/>
      <c r="G26" s="47"/>
      <c r="H26" s="48"/>
    </row>
    <row r="27" spans="1:13" s="18" customFormat="1" ht="65.25" customHeight="1">
      <c r="A27" s="42">
        <v>11</v>
      </c>
      <c r="B27" s="19" t="s">
        <v>70</v>
      </c>
      <c r="C27" s="51" t="s">
        <v>67</v>
      </c>
      <c r="D27" s="45"/>
      <c r="E27" s="45"/>
      <c r="F27" s="46"/>
      <c r="G27" s="47"/>
      <c r="H27" s="48"/>
      <c r="I27"/>
      <c r="J27"/>
      <c r="K27"/>
    </row>
    <row r="28" spans="1:13" s="18" customFormat="1" ht="65.25" customHeight="1">
      <c r="A28" s="42">
        <v>12</v>
      </c>
      <c r="B28" s="74" t="s">
        <v>70</v>
      </c>
      <c r="C28" s="70" t="s">
        <v>61</v>
      </c>
      <c r="D28" s="45"/>
      <c r="E28" s="45"/>
      <c r="F28" s="46"/>
      <c r="G28" s="47"/>
      <c r="H28" s="48"/>
      <c r="I28"/>
      <c r="J28"/>
      <c r="K28"/>
    </row>
    <row r="29" spans="1:13" s="18" customFormat="1" ht="65.25" customHeight="1">
      <c r="A29" s="42">
        <v>12</v>
      </c>
      <c r="B29" s="71"/>
      <c r="C29" s="72"/>
      <c r="D29" s="45"/>
      <c r="E29" s="45"/>
      <c r="F29" s="46"/>
      <c r="G29" s="47"/>
      <c r="H29" s="48"/>
      <c r="I29"/>
      <c r="J29"/>
      <c r="K29"/>
    </row>
    <row r="30" spans="1:13" s="18" customFormat="1" ht="65.25" customHeight="1">
      <c r="A30" s="42">
        <v>13</v>
      </c>
      <c r="B30" s="51"/>
      <c r="C30" s="44"/>
      <c r="D30" s="45"/>
      <c r="E30" s="45"/>
      <c r="F30" s="46"/>
      <c r="G30" s="47"/>
      <c r="H30" s="48"/>
      <c r="I30"/>
      <c r="J30"/>
      <c r="K30"/>
    </row>
    <row r="31" spans="1:13" s="18" customFormat="1" ht="65.25" customHeight="1">
      <c r="A31" s="42">
        <v>14</v>
      </c>
      <c r="B31" s="51"/>
      <c r="C31" s="44"/>
      <c r="D31" s="45"/>
      <c r="E31" s="45"/>
      <c r="F31" s="46"/>
      <c r="G31" s="47"/>
      <c r="H31" s="48"/>
      <c r="I31"/>
      <c r="J31"/>
      <c r="K31"/>
    </row>
    <row r="32" spans="1:13" s="18" customFormat="1" ht="65.25" customHeight="1">
      <c r="A32" s="42">
        <v>15</v>
      </c>
      <c r="B32" s="51"/>
      <c r="C32" s="56"/>
      <c r="D32" s="57"/>
      <c r="E32" s="57"/>
      <c r="F32" s="58"/>
      <c r="G32" s="47"/>
      <c r="H32" s="48"/>
    </row>
    <row r="33" spans="1:8" s="18" customFormat="1" ht="65.25" customHeight="1">
      <c r="A33" s="42"/>
      <c r="B33" s="59"/>
      <c r="C33" s="60" t="s">
        <v>53</v>
      </c>
      <c r="D33" s="57"/>
      <c r="E33" s="57"/>
      <c r="F33" s="58"/>
      <c r="G33" s="47"/>
      <c r="H33" s="61"/>
    </row>
    <row r="34" spans="1:8" s="18" customFormat="1" ht="65.25" customHeight="1" thickBot="1">
      <c r="A34" s="62"/>
      <c r="B34" s="63"/>
      <c r="C34" s="64"/>
      <c r="D34" s="65"/>
      <c r="E34" s="66"/>
      <c r="F34" s="67" t="s">
        <v>40</v>
      </c>
      <c r="G34" s="68">
        <f>SUM(G17:G33)</f>
        <v>16527000</v>
      </c>
      <c r="H34" s="69"/>
    </row>
    <row r="35" spans="1:8" s="18" customFormat="1" ht="17.25" customHeight="1">
      <c r="A35" s="27" t="s">
        <v>38</v>
      </c>
      <c r="B35" s="26"/>
      <c r="C35" s="17"/>
      <c r="D35" s="16"/>
      <c r="E35" s="16"/>
      <c r="F35" s="106" t="s">
        <v>54</v>
      </c>
      <c r="G35" s="107"/>
      <c r="H35" s="107"/>
    </row>
    <row r="36" spans="1:8" s="13" customFormat="1" ht="14.25" customHeight="1">
      <c r="A36" s="30"/>
      <c r="B36" s="27" t="s">
        <v>39</v>
      </c>
      <c r="C36" s="14"/>
      <c r="D36" s="15"/>
      <c r="E36" s="11" t="s">
        <v>4</v>
      </c>
      <c r="F36" s="102"/>
      <c r="G36" s="102"/>
      <c r="H36" s="102"/>
    </row>
    <row r="37" spans="1:8" s="13" customFormat="1" ht="14.25" customHeight="1">
      <c r="A37" s="30"/>
      <c r="B37" s="28" t="s">
        <v>37</v>
      </c>
      <c r="C37" s="12"/>
      <c r="D37" s="9" t="s">
        <v>5</v>
      </c>
      <c r="E37" s="8" t="s">
        <v>6</v>
      </c>
      <c r="F37" s="103"/>
      <c r="G37" s="103"/>
      <c r="H37" s="103"/>
    </row>
    <row r="38" spans="1:8" s="13" customFormat="1" ht="14.25" customHeight="1">
      <c r="A38" s="30"/>
      <c r="B38" s="29"/>
      <c r="C38" s="10"/>
      <c r="D38" s="7"/>
      <c r="E38" s="8" t="s">
        <v>7</v>
      </c>
      <c r="F38" s="104"/>
      <c r="G38" s="104"/>
      <c r="H38" s="104"/>
    </row>
    <row r="39" spans="1:8" s="13" customFormat="1" ht="15" customHeight="1">
      <c r="A39" s="30"/>
      <c r="B39" s="29"/>
      <c r="C39" s="10"/>
      <c r="D39" s="9" t="s">
        <v>8</v>
      </c>
      <c r="E39" s="8" t="s">
        <v>9</v>
      </c>
      <c r="F39" s="104"/>
      <c r="G39" s="104"/>
      <c r="H39" s="104"/>
    </row>
    <row r="40" spans="1:8" s="13" customFormat="1" ht="15" customHeight="1">
      <c r="A40" s="30"/>
      <c r="B40" s="29"/>
      <c r="C40" s="10"/>
      <c r="D40" s="9" t="s">
        <v>11</v>
      </c>
      <c r="E40" s="8" t="s">
        <v>12</v>
      </c>
      <c r="F40" s="100" t="s">
        <v>42</v>
      </c>
      <c r="G40" s="100"/>
      <c r="H40" s="100"/>
    </row>
    <row r="41" spans="1:8" s="13" customFormat="1" ht="15" customHeight="1">
      <c r="A41" s="30"/>
      <c r="B41" s="29" t="s">
        <v>10</v>
      </c>
      <c r="C41" s="10" t="s">
        <v>10</v>
      </c>
    </row>
    <row r="42" spans="1:8" s="13" customFormat="1" ht="13.5" customHeight="1">
      <c r="A42" s="15"/>
      <c r="B42" s="15"/>
      <c r="C42" s="10"/>
      <c r="D42" s="7"/>
      <c r="E42" s="7"/>
      <c r="F42" s="13" t="s">
        <v>0</v>
      </c>
      <c r="G42" s="6"/>
    </row>
    <row r="43" spans="1:8" s="13" customFormat="1" ht="13.5" customHeight="1">
      <c r="A43" s="15"/>
      <c r="B43" s="15"/>
      <c r="C43" s="10"/>
      <c r="D43" s="7"/>
      <c r="E43" s="7"/>
      <c r="G43" s="6"/>
    </row>
    <row r="56" spans="3:3">
      <c r="C56" s="3" t="s">
        <v>17</v>
      </c>
    </row>
  </sheetData>
  <dataConsolidate/>
  <mergeCells count="25">
    <mergeCell ref="F40:H40"/>
    <mergeCell ref="A15:C15"/>
    <mergeCell ref="F36:H36"/>
    <mergeCell ref="F37:H37"/>
    <mergeCell ref="F38:H38"/>
    <mergeCell ref="F39:H39"/>
    <mergeCell ref="D15:H15"/>
    <mergeCell ref="F35:H35"/>
    <mergeCell ref="A1:G1"/>
    <mergeCell ref="A8:C8"/>
    <mergeCell ref="A3:C3"/>
    <mergeCell ref="A4:C4"/>
    <mergeCell ref="A5:C5"/>
    <mergeCell ref="A6:C6"/>
    <mergeCell ref="G3:H3"/>
    <mergeCell ref="D5:H8"/>
    <mergeCell ref="A13:C13"/>
    <mergeCell ref="D13:H13"/>
    <mergeCell ref="A14:C14"/>
    <mergeCell ref="A9:C11"/>
    <mergeCell ref="A7:C7"/>
    <mergeCell ref="A12:C12"/>
    <mergeCell ref="D9:H9"/>
    <mergeCell ref="D11:H11"/>
    <mergeCell ref="D12:H12"/>
  </mergeCells>
  <phoneticPr fontId="3" type="noConversion"/>
  <hyperlinks>
    <hyperlink ref="F35" r:id="rId1" xr:uid="{405A678F-6FF1-4DDE-B576-998AD7512FDA}"/>
  </hyperlinks>
  <printOptions horizontalCentered="1"/>
  <pageMargins left="0.19685039370078741" right="0.19685039370078741" top="0.78740157480314965" bottom="0.78740157480314965" header="0.47244094488188981" footer="0.47244094488188981"/>
  <pageSetup paperSize="9" scale="73" orientation="portrait" verticalDpi="4294967293" r:id="rId2"/>
  <headerFooter alignWithMargins="0"/>
  <rowBreaks count="1" manualBreakCount="1">
    <brk id="41" max="6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이창수</cp:lastModifiedBy>
  <cp:lastPrinted>2026-05-21T05:41:32Z</cp:lastPrinted>
  <dcterms:created xsi:type="dcterms:W3CDTF">2011-05-12T02:11:49Z</dcterms:created>
  <dcterms:modified xsi:type="dcterms:W3CDTF">2026-05-25T23:55:42Z</dcterms:modified>
</cp:coreProperties>
</file>